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6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kiuge-my.sharepoint.com/personal/barbakadze_mariam_kiu_edu_ge/Documents/"/>
    </mc:Choice>
  </mc:AlternateContent>
  <xr:revisionPtr revIDLastSave="0" documentId="8_{EC8C5BDF-2FB4-41CA-A6EB-E73E2A96A9FB}" xr6:coauthVersionLast="47" xr6:coauthVersionMax="47" xr10:uidLastSave="{00000000-0000-0000-0000-000000000000}"/>
  <bookViews>
    <workbookView xWindow="15" yWindow="0" windowWidth="28785" windowHeight="16200" firstSheet="9" activeTab="9" xr2:uid="{3A38CBD3-C39D-42EB-8914-0DE12F5E8889}"/>
  </bookViews>
  <sheets>
    <sheet name="Discriptive stat. (Cent.Tend.)" sheetId="3" r:id="rId1"/>
    <sheet name="GDP per capita" sheetId="1" r:id="rId2"/>
    <sheet name="Social Support (Growth)" sheetId="4" r:id="rId3"/>
    <sheet name="Healthy life expectancy" sheetId="10" r:id="rId4"/>
    <sheet name="Generosity" sheetId="7" r:id="rId5"/>
    <sheet name="freedom to make life choices" sheetId="13" r:id="rId6"/>
    <sheet name="total frmlch correl" sheetId="14" r:id="rId7"/>
    <sheet name="Correl.(Soc.Supp. and Life Lad)" sheetId="5" r:id="rId8"/>
    <sheet name="correl,(Generosity_Life lad)" sheetId="8" r:id="rId9"/>
    <sheet name="Correl Healthy life expectancy" sheetId="11" r:id="rId10"/>
    <sheet name="Total regression" sheetId="2" r:id="rId11"/>
    <sheet name="Russia regression" sheetId="9" r:id="rId12"/>
    <sheet name="Regression for Georgia" sheetId="6" r:id="rId13"/>
    <sheet name="Armenia regression" sheetId="12" r:id="rId14"/>
    <sheet name="Azerbaijan regression" sheetId="15" r:id="rId15"/>
  </sheets>
  <definedNames>
    <definedName name="_xlnm._FilterDatabase" localSheetId="1" hidden="1">'GDP per capita'!$A$1:$D$57</definedName>
    <definedName name="_xlnm._FilterDatabase" localSheetId="10" hidden="1">'Total regression'!$A$1:$H$79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3" l="1"/>
  <c r="AC6" i="13" s="1"/>
  <c r="P7" i="13"/>
  <c r="AD6" i="13" s="1"/>
  <c r="Q7" i="13"/>
  <c r="AE6" i="13" s="1"/>
  <c r="R7" i="13"/>
  <c r="AF6" i="13" s="1"/>
  <c r="O8" i="13"/>
  <c r="P8" i="13"/>
  <c r="Q8" i="13"/>
  <c r="R8" i="13"/>
  <c r="O9" i="13"/>
  <c r="P9" i="13"/>
  <c r="Q9" i="13"/>
  <c r="R9" i="13"/>
  <c r="O10" i="13"/>
  <c r="P10" i="13"/>
  <c r="Q10" i="13"/>
  <c r="R10" i="13"/>
  <c r="O11" i="13"/>
  <c r="P11" i="13"/>
  <c r="Q11" i="13"/>
  <c r="R11" i="13"/>
  <c r="O12" i="13"/>
  <c r="P12" i="13"/>
  <c r="Q12" i="13"/>
  <c r="R12" i="13"/>
  <c r="O13" i="13"/>
  <c r="P13" i="13"/>
  <c r="Q13" i="13"/>
  <c r="R13" i="13"/>
  <c r="O14" i="13"/>
  <c r="P14" i="13"/>
  <c r="Q14" i="13"/>
  <c r="R14" i="13"/>
  <c r="O15" i="13"/>
  <c r="P15" i="13"/>
  <c r="Q15" i="13"/>
  <c r="R15" i="13"/>
  <c r="O16" i="13"/>
  <c r="P16" i="13"/>
  <c r="Q16" i="13"/>
  <c r="R16" i="13"/>
  <c r="O17" i="13"/>
  <c r="P17" i="13"/>
  <c r="Q17" i="13"/>
  <c r="R17" i="13"/>
  <c r="O18" i="13"/>
  <c r="P18" i="13"/>
  <c r="Q18" i="13"/>
  <c r="R18" i="13"/>
  <c r="O19" i="13"/>
  <c r="P19" i="13"/>
  <c r="Q19" i="13"/>
  <c r="R19" i="13"/>
  <c r="K6" i="10" l="1"/>
  <c r="L6" i="10"/>
  <c r="M6" i="10"/>
  <c r="N6" i="10"/>
  <c r="K7" i="10"/>
  <c r="L7" i="10"/>
  <c r="M7" i="10"/>
  <c r="N7" i="10"/>
  <c r="K8" i="10"/>
  <c r="L8" i="10"/>
  <c r="M8" i="10"/>
  <c r="N8" i="10"/>
  <c r="K9" i="10"/>
  <c r="L9" i="10"/>
  <c r="M9" i="10"/>
  <c r="N9" i="10"/>
  <c r="K10" i="10"/>
  <c r="L10" i="10"/>
  <c r="M10" i="10"/>
  <c r="N10" i="10"/>
  <c r="K11" i="10"/>
  <c r="L11" i="10"/>
  <c r="M11" i="10"/>
  <c r="N11" i="10"/>
  <c r="K12" i="10"/>
  <c r="L12" i="10"/>
  <c r="M12" i="10"/>
  <c r="N12" i="10"/>
  <c r="K13" i="10"/>
  <c r="L13" i="10"/>
  <c r="M13" i="10"/>
  <c r="N13" i="10"/>
  <c r="K14" i="10"/>
  <c r="L14" i="10"/>
  <c r="M14" i="10"/>
  <c r="N14" i="10"/>
  <c r="K15" i="10"/>
  <c r="L15" i="10"/>
  <c r="M15" i="10"/>
  <c r="N15" i="10"/>
  <c r="K16" i="10"/>
  <c r="L16" i="10"/>
  <c r="M16" i="10"/>
  <c r="N16" i="10"/>
  <c r="K17" i="10"/>
  <c r="L17" i="10"/>
  <c r="M17" i="10"/>
  <c r="N17" i="10"/>
  <c r="K18" i="10"/>
  <c r="L18" i="10"/>
  <c r="M18" i="10"/>
  <c r="N18" i="10"/>
  <c r="B24" i="7"/>
  <c r="C24" i="7"/>
  <c r="D24" i="7"/>
  <c r="E24" i="7"/>
  <c r="B25" i="7"/>
  <c r="C25" i="7"/>
  <c r="D25" i="7"/>
  <c r="E25" i="7"/>
  <c r="P27" i="7" s="1"/>
  <c r="B26" i="7"/>
  <c r="C26" i="7"/>
  <c r="D26" i="7"/>
  <c r="P26" i="7" s="1"/>
  <c r="E26" i="7"/>
  <c r="B27" i="7"/>
  <c r="C27" i="7"/>
  <c r="P25" i="7" s="1"/>
  <c r="D27" i="7"/>
  <c r="E27" i="7"/>
  <c r="B28" i="7"/>
  <c r="P24" i="7" s="1"/>
  <c r="C28" i="7"/>
  <c r="D28" i="7"/>
  <c r="E28" i="7"/>
  <c r="B29" i="7"/>
  <c r="C29" i="7"/>
  <c r="D29" i="7"/>
  <c r="E29" i="7"/>
  <c r="B30" i="7"/>
  <c r="C30" i="7"/>
  <c r="D30" i="7"/>
  <c r="E30" i="7"/>
  <c r="B31" i="7"/>
  <c r="C31" i="7"/>
  <c r="D31" i="7"/>
  <c r="E31" i="7"/>
  <c r="B32" i="7"/>
  <c r="C32" i="7"/>
  <c r="D32" i="7"/>
  <c r="E32" i="7"/>
  <c r="B33" i="7"/>
  <c r="C33" i="7"/>
  <c r="D33" i="7"/>
  <c r="E33" i="7"/>
  <c r="B34" i="7"/>
  <c r="C34" i="7"/>
  <c r="D34" i="7"/>
  <c r="E34" i="7"/>
  <c r="B35" i="7"/>
  <c r="C35" i="7"/>
  <c r="D35" i="7"/>
  <c r="E35" i="7"/>
  <c r="B36" i="7"/>
  <c r="C36" i="7"/>
  <c r="D36" i="7"/>
  <c r="E36" i="7"/>
  <c r="I4" i="4"/>
  <c r="J4" i="4"/>
  <c r="K4" i="4"/>
  <c r="L4" i="4"/>
  <c r="I5" i="4"/>
  <c r="P4" i="4" s="1"/>
  <c r="J5" i="4"/>
  <c r="Q4" i="4" s="1"/>
  <c r="K5" i="4"/>
  <c r="R4" i="4" s="1"/>
  <c r="L5" i="4"/>
  <c r="S4" i="4" s="1"/>
  <c r="I6" i="4"/>
  <c r="J6" i="4"/>
  <c r="K6" i="4"/>
  <c r="L6" i="4"/>
  <c r="I7" i="4"/>
  <c r="J7" i="4"/>
  <c r="K7" i="4"/>
  <c r="L7" i="4"/>
  <c r="I8" i="4"/>
  <c r="J8" i="4"/>
  <c r="K8" i="4"/>
  <c r="L8" i="4"/>
  <c r="I9" i="4"/>
  <c r="J9" i="4"/>
  <c r="K9" i="4"/>
  <c r="L9" i="4"/>
  <c r="I10" i="4"/>
  <c r="J10" i="4"/>
  <c r="K10" i="4"/>
  <c r="L10" i="4"/>
  <c r="I11" i="4"/>
  <c r="J11" i="4"/>
  <c r="K11" i="4"/>
  <c r="L11" i="4"/>
  <c r="I12" i="4"/>
  <c r="J12" i="4"/>
  <c r="K12" i="4"/>
  <c r="L12" i="4"/>
  <c r="I13" i="4"/>
  <c r="J13" i="4"/>
  <c r="K13" i="4"/>
  <c r="L13" i="4"/>
  <c r="I14" i="4"/>
  <c r="J14" i="4"/>
  <c r="K14" i="4"/>
  <c r="L14" i="4"/>
  <c r="I15" i="4"/>
  <c r="J15" i="4"/>
  <c r="K15" i="4"/>
  <c r="L15" i="4"/>
  <c r="I16" i="4"/>
  <c r="J16" i="4"/>
  <c r="K16" i="4"/>
  <c r="L16" i="4"/>
  <c r="U5" i="10" l="1"/>
  <c r="T5" i="10"/>
  <c r="S5" i="10"/>
  <c r="R5" i="10"/>
  <c r="H3" i="1"/>
  <c r="G7" i="1"/>
  <c r="H7" i="1" s="1"/>
  <c r="G6" i="1"/>
  <c r="H6" i="1" s="1"/>
  <c r="G5" i="1"/>
  <c r="H5" i="1" s="1"/>
  <c r="G4" i="1"/>
  <c r="H4" i="1" s="1"/>
  <c r="G3" i="1" l="1"/>
  <c r="AE3" i="1"/>
  <c r="AF3" i="1"/>
  <c r="AG3" i="1"/>
  <c r="AE4" i="1"/>
  <c r="P23" i="1" s="1"/>
  <c r="AF4" i="1"/>
  <c r="Q23" i="1" s="1"/>
  <c r="AG4" i="1"/>
  <c r="R23" i="1" s="1"/>
  <c r="AE5" i="1"/>
  <c r="P24" i="1" s="1"/>
  <c r="AF5" i="1"/>
  <c r="Q24" i="1" s="1"/>
  <c r="AG5" i="1"/>
  <c r="R24" i="1" s="1"/>
  <c r="AE6" i="1"/>
  <c r="P25" i="1" s="1"/>
  <c r="AF6" i="1"/>
  <c r="Q25" i="1" s="1"/>
  <c r="AG6" i="1"/>
  <c r="R25" i="1" s="1"/>
  <c r="AE7" i="1"/>
  <c r="P26" i="1" s="1"/>
  <c r="AF7" i="1"/>
  <c r="Q26" i="1" s="1"/>
  <c r="AG7" i="1"/>
  <c r="R26" i="1" s="1"/>
  <c r="AE8" i="1"/>
  <c r="P27" i="1" s="1"/>
  <c r="AF8" i="1"/>
  <c r="Q27" i="1" s="1"/>
  <c r="AG8" i="1"/>
  <c r="R27" i="1" s="1"/>
  <c r="AE9" i="1"/>
  <c r="P28" i="1" s="1"/>
  <c r="AF9" i="1"/>
  <c r="Q28" i="1" s="1"/>
  <c r="AG9" i="1"/>
  <c r="R28" i="1" s="1"/>
  <c r="AE10" i="1"/>
  <c r="P29" i="1" s="1"/>
  <c r="AF10" i="1"/>
  <c r="Q29" i="1" s="1"/>
  <c r="AG10" i="1"/>
  <c r="R29" i="1" s="1"/>
  <c r="AE11" i="1"/>
  <c r="P30" i="1" s="1"/>
  <c r="AF11" i="1"/>
  <c r="Q30" i="1" s="1"/>
  <c r="AG11" i="1"/>
  <c r="R30" i="1" s="1"/>
  <c r="AE12" i="1"/>
  <c r="P31" i="1" s="1"/>
  <c r="AF12" i="1"/>
  <c r="Q31" i="1" s="1"/>
  <c r="AG12" i="1"/>
  <c r="R31" i="1" s="1"/>
  <c r="AE13" i="1"/>
  <c r="P32" i="1" s="1"/>
  <c r="AF13" i="1"/>
  <c r="Q32" i="1" s="1"/>
  <c r="AG13" i="1"/>
  <c r="R32" i="1" s="1"/>
  <c r="AE14" i="1"/>
  <c r="P33" i="1" s="1"/>
  <c r="AF14" i="1"/>
  <c r="Q33" i="1" s="1"/>
  <c r="AG14" i="1"/>
  <c r="R33" i="1" s="1"/>
  <c r="AE15" i="1"/>
  <c r="P34" i="1" s="1"/>
  <c r="AF15" i="1"/>
  <c r="Q34" i="1" s="1"/>
  <c r="AG15" i="1"/>
  <c r="R34" i="1" s="1"/>
  <c r="AE16" i="1"/>
  <c r="P35" i="1" s="1"/>
  <c r="AF16" i="1"/>
  <c r="Q35" i="1" s="1"/>
  <c r="AG16" i="1"/>
  <c r="R35" i="1" s="1"/>
  <c r="AD4" i="1"/>
  <c r="AD5" i="1"/>
  <c r="AD6" i="1"/>
  <c r="O25" i="1" s="1"/>
  <c r="AD7" i="1"/>
  <c r="AD8" i="1"/>
  <c r="O27" i="1" s="1"/>
  <c r="AD9" i="1"/>
  <c r="AD10" i="1"/>
  <c r="O29" i="1" s="1"/>
  <c r="AD11" i="1"/>
  <c r="AD12" i="1"/>
  <c r="O31" i="1" s="1"/>
  <c r="AD13" i="1"/>
  <c r="AD14" i="1"/>
  <c r="O33" i="1" s="1"/>
  <c r="AD15" i="1"/>
  <c r="AD16" i="1"/>
  <c r="O35" i="1" s="1"/>
  <c r="AD3" i="1"/>
  <c r="V24" i="1" l="1"/>
  <c r="V23" i="1"/>
  <c r="V22" i="1"/>
  <c r="O23" i="1"/>
  <c r="O32" i="1"/>
  <c r="O28" i="1"/>
  <c r="O24" i="1"/>
  <c r="O34" i="1"/>
  <c r="O30" i="1"/>
  <c r="O26" i="1"/>
  <c r="V21" i="1" l="1"/>
</calcChain>
</file>

<file path=xl/sharedStrings.xml><?xml version="1.0" encoding="utf-8"?>
<sst xmlns="http://schemas.openxmlformats.org/spreadsheetml/2006/main" count="1390" uniqueCount="109">
  <si>
    <t>Country name</t>
  </si>
  <si>
    <t>year</t>
  </si>
  <si>
    <t>Life Ladder</t>
  </si>
  <si>
    <t>GDP per capita</t>
  </si>
  <si>
    <t>Social support</t>
  </si>
  <si>
    <t>Healthy life expectancy at birth</t>
  </si>
  <si>
    <t>Freedom to make life choices</t>
  </si>
  <si>
    <t>Generosity</t>
  </si>
  <si>
    <t>Georgia</t>
  </si>
  <si>
    <t>Armenia</t>
  </si>
  <si>
    <t>ARMENIA</t>
  </si>
  <si>
    <t>Social Support</t>
  </si>
  <si>
    <t>Healthy life expectancy</t>
  </si>
  <si>
    <t>Freedom</t>
  </si>
  <si>
    <t>LIFE LADDER</t>
  </si>
  <si>
    <t>social support</t>
  </si>
  <si>
    <t>healthy life expectancy</t>
  </si>
  <si>
    <t>freedom</t>
  </si>
  <si>
    <t>generosity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</si>
  <si>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</si>
  <si>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</si>
  <si>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</si>
  <si>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</si>
  <si>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</si>
  <si>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</si>
  <si>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</si>
  <si>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</si>
  <si>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</si>
  <si>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</si>
  <si>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</si>
  <si>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Azerbaijan</t>
  </si>
  <si>
    <t>Sum</t>
  </si>
  <si>
    <t>Count</t>
  </si>
  <si>
    <t>Largest(1)</t>
  </si>
  <si>
    <t>Smallest(1)</t>
  </si>
  <si>
    <t>Confidence Level(95.0%)</t>
  </si>
  <si>
    <t>Confidence Level(95,0%)</t>
  </si>
  <si>
    <t>Russia</t>
  </si>
  <si>
    <t>AZIRBAJAN</t>
  </si>
  <si>
    <t>Life ladder</t>
  </si>
  <si>
    <t>GDP PER CAPITA</t>
  </si>
  <si>
    <t>SOCIAL SUPPORT</t>
  </si>
  <si>
    <t>HEALTHY LIFE EXPECTANCY</t>
  </si>
  <si>
    <t>FREEDOM</t>
  </si>
  <si>
    <t>GENEROSITY</t>
  </si>
  <si>
    <t>Total</t>
  </si>
  <si>
    <t xml:space="preserve">Freedom </t>
  </si>
  <si>
    <t>GDP</t>
  </si>
  <si>
    <t>POPULATON</t>
  </si>
  <si>
    <t>cefficient of correlation</t>
  </si>
  <si>
    <t>R^2</t>
  </si>
  <si>
    <t>Russian Federation</t>
  </si>
  <si>
    <t>GDP per capita growth rate</t>
  </si>
  <si>
    <t>GDP per capita growth rate mean</t>
  </si>
  <si>
    <t>Social support growth</t>
  </si>
  <si>
    <t>Mean Growth</t>
  </si>
  <si>
    <t>Year</t>
  </si>
  <si>
    <t>healthy life xpextancy growth rate</t>
  </si>
  <si>
    <t>Mean growth</t>
  </si>
  <si>
    <t xml:space="preserve">Healthy life expectancy </t>
  </si>
  <si>
    <t>Healthy life expectancy growth rate</t>
  </si>
  <si>
    <t>Generosity Growth</t>
  </si>
  <si>
    <t>Mean of Generosity Growth</t>
  </si>
  <si>
    <t>growth rate</t>
  </si>
  <si>
    <t>MEAN OF GROWTH RATE</t>
  </si>
  <si>
    <t xml:space="preserve">AZERBAIJAN </t>
  </si>
  <si>
    <t>GEORGIA</t>
  </si>
  <si>
    <t>RUSSIA</t>
  </si>
  <si>
    <t>FREEDOM TO MAKE LIFE CHOICES</t>
  </si>
  <si>
    <t>FRDMLCH</t>
  </si>
  <si>
    <t>AZERBAIJAN</t>
  </si>
  <si>
    <t>LL</t>
  </si>
  <si>
    <t>Correlations between Life Ladder and Social Support</t>
  </si>
  <si>
    <t xml:space="preserve"> </t>
  </si>
  <si>
    <t xml:space="preserve"> Life Ladder</t>
  </si>
  <si>
    <t>correlation between life ladder and healthy life expectancy</t>
  </si>
  <si>
    <t>life ladder</t>
  </si>
  <si>
    <t xml:space="preserve">healthy life </t>
  </si>
  <si>
    <t>healthy life</t>
  </si>
  <si>
    <t>TOTAL</t>
  </si>
  <si>
    <t>life  ladder</t>
  </si>
  <si>
    <t>TOTAL SUMMARY OUTPUT</t>
  </si>
  <si>
    <t>Regression Statistics</t>
  </si>
  <si>
    <t>Multiple R</t>
  </si>
  <si>
    <t>R Square</t>
  </si>
  <si>
    <t>Adjusted R Square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</si>
  <si>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</si>
  <si>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</si>
  <si>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</si>
  <si>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</si>
  <si>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</si>
  <si>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</si>
  <si>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</si>
  <si>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</si>
  <si>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</si>
  <si>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</si>
  <si>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</si>
  <si>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</si>
  <si>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</si>
  <si>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</si>
  <si>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</si>
  <si>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</si>
  <si>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</si>
  <si>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SUMMARY OUTPUT</t>
  </si>
  <si>
    <t>Lower 95.0%</t>
  </si>
  <si>
    <t>Upper 95.0%</t>
  </si>
  <si>
    <t xml:space="preserve">GDP </t>
  </si>
  <si>
    <t xml:space="preserve"> support</t>
  </si>
  <si>
    <t>GDP PER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</si>
</sst>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0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b/>
      <i/>
      <sz val="11"/>
      <color theme="1"/>
      <name val="Aptos Narrow"/>
      <family val="2"/>
      <scheme val="minor"/>
    </font>
    <font>
      <b/>
      <i/>
      <sz val="11"/>
      <color rgb="FF007BB8"/>
      <name val="Aptos Narrow"/>
      <family val="2"/>
      <scheme val="minor"/>
    </font>
    <font>
      <b/>
      <sz val="11"/>
      <color rgb="FF92D05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i/>
      <sz val="11"/>
      <color theme="1"/>
      <name val="Aptos Narrow"/>
      <family val="2"/>
      <charset val="1"/>
      <scheme val="minor"/>
    </font>
    <font>
      <sz val="11"/>
      <color theme="4" tint="-0.249977111117893"/>
      <name val="Aptos Narrow"/>
      <family val="2"/>
      <charset val="1"/>
      <scheme val="minor"/>
    </font>
    <font>
      <sz val="11"/>
      <color theme="9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1"/>
      <color theme="1"/>
      <name val="Aptos Narrow"/>
      <scheme val="minor"/>
    </font>
    <font>
      <b/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Calibri (Body)"/>
      <charset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Calibri (Body)"/>
    </font>
    <font>
      <sz val="12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charset val="1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8" fillId="0" borderId="0"/>
    <xf numFmtId="0" fontId="24" fillId="0" borderId="0"/>
  </cellStyleXfs>
  <cellXfs count="99">
    <xf numFmtId="0" fontId="0" fillId="0" borderId="0" xfId="0"/>
    <xf numFmtId="0" fontId="1" fillId="0" borderId="0" xfId="0" applyFont="1"/>
    <xf numFmtId="0" fontId="2" fillId="0" borderId="0" xfId="1"/>
    <xf numFmtId="1" fontId="3" fillId="0" borderId="0" xfId="2" applyNumberFormat="1"/>
    <xf numFmtId="0" fontId="4" fillId="0" borderId="0" xfId="2" applyFont="1" applyAlignment="1">
      <alignment horizontal="center"/>
    </xf>
    <xf numFmtId="0" fontId="3" fillId="0" borderId="0" xfId="2"/>
    <xf numFmtId="164" fontId="4" fillId="0" borderId="0" xfId="2" applyNumberFormat="1" applyFont="1" applyAlignment="1">
      <alignment horizontal="center"/>
    </xf>
    <xf numFmtId="164" fontId="3" fillId="0" borderId="0" xfId="2" applyNumberForma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0" fillId="0" borderId="1" xfId="0" applyBorder="1"/>
    <xf numFmtId="0" fontId="9" fillId="0" borderId="2" xfId="0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9" fillId="0" borderId="2" xfId="0" applyFont="1" applyBorder="1" applyAlignment="1">
      <alignment horizontal="centerContinuous"/>
    </xf>
    <xf numFmtId="0" fontId="12" fillId="3" borderId="0" xfId="3" applyBorder="1" applyAlignment="1"/>
    <xf numFmtId="0" fontId="2" fillId="0" borderId="0" xfId="0" applyFont="1"/>
    <xf numFmtId="0" fontId="0" fillId="6" borderId="0" xfId="0" applyFill="1"/>
    <xf numFmtId="0" fontId="0" fillId="7" borderId="0" xfId="0" applyFill="1"/>
    <xf numFmtId="0" fontId="0" fillId="7" borderId="1" xfId="0" applyFill="1" applyBorder="1"/>
    <xf numFmtId="0" fontId="13" fillId="4" borderId="0" xfId="4"/>
    <xf numFmtId="0" fontId="13" fillId="4" borderId="0" xfId="4" applyBorder="1" applyAlignment="1"/>
    <xf numFmtId="0" fontId="13" fillId="4" borderId="1" xfId="4" applyBorder="1" applyAlignment="1"/>
    <xf numFmtId="0" fontId="14" fillId="5" borderId="0" xfId="5" applyBorder="1" applyAlignment="1"/>
    <xf numFmtId="0" fontId="15" fillId="8" borderId="0" xfId="0" applyFont="1" applyFill="1"/>
    <xf numFmtId="164" fontId="3" fillId="0" borderId="0" xfId="2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3" fillId="0" borderId="0" xfId="2" applyNumberFormat="1" applyAlignment="1">
      <alignment horizontal="center"/>
    </xf>
    <xf numFmtId="0" fontId="3" fillId="0" borderId="0" xfId="2" applyAlignment="1">
      <alignment horizontal="center"/>
    </xf>
    <xf numFmtId="0" fontId="16" fillId="0" borderId="0" xfId="0" applyFont="1"/>
    <xf numFmtId="164" fontId="17" fillId="0" borderId="0" xfId="2" applyNumberFormat="1" applyFont="1"/>
    <xf numFmtId="0" fontId="0" fillId="0" borderId="0" xfId="0" applyAlignment="1">
      <alignment horizontal="center"/>
    </xf>
    <xf numFmtId="1" fontId="18" fillId="0" borderId="0" xfId="2" applyNumberFormat="1" applyFont="1" applyAlignment="1">
      <alignment horizontal="center"/>
    </xf>
    <xf numFmtId="0" fontId="19" fillId="0" borderId="0" xfId="0" applyFont="1"/>
    <xf numFmtId="0" fontId="0" fillId="9" borderId="1" xfId="0" applyFill="1" applyBorder="1"/>
    <xf numFmtId="165" fontId="0" fillId="9" borderId="1" xfId="0" applyNumberFormat="1" applyFill="1" applyBorder="1"/>
    <xf numFmtId="0" fontId="0" fillId="9" borderId="0" xfId="0" applyFill="1"/>
    <xf numFmtId="165" fontId="0" fillId="9" borderId="0" xfId="0" applyNumberFormat="1" applyFill="1"/>
    <xf numFmtId="0" fontId="9" fillId="9" borderId="2" xfId="0" applyFont="1" applyFill="1" applyBorder="1" applyAlignment="1">
      <alignment horizontal="center"/>
    </xf>
    <xf numFmtId="1" fontId="4" fillId="0" borderId="0" xfId="6" applyNumberFormat="1" applyFont="1" applyAlignment="1">
      <alignment horizontal="center"/>
    </xf>
    <xf numFmtId="0" fontId="1" fillId="0" borderId="0" xfId="1" applyFont="1" applyAlignment="1">
      <alignment horizontal="center"/>
    </xf>
    <xf numFmtId="0" fontId="1" fillId="0" borderId="0" xfId="1" applyFont="1"/>
    <xf numFmtId="0" fontId="20" fillId="0" borderId="0" xfId="1" applyFont="1"/>
    <xf numFmtId="164" fontId="18" fillId="0" borderId="0" xfId="6" applyNumberFormat="1"/>
    <xf numFmtId="0" fontId="18" fillId="0" borderId="0" xfId="6"/>
    <xf numFmtId="1" fontId="18" fillId="0" borderId="0" xfId="6" applyNumberFormat="1"/>
    <xf numFmtId="0" fontId="2" fillId="0" borderId="1" xfId="1" applyBorder="1"/>
    <xf numFmtId="0" fontId="2" fillId="6" borderId="1" xfId="1" applyFill="1" applyBorder="1"/>
    <xf numFmtId="0" fontId="21" fillId="0" borderId="2" xfId="1" applyFont="1" applyBorder="1" applyAlignment="1">
      <alignment horizontal="center"/>
    </xf>
    <xf numFmtId="0" fontId="2" fillId="10" borderId="1" xfId="1" applyFill="1" applyBorder="1"/>
    <xf numFmtId="0" fontId="2" fillId="10" borderId="0" xfId="1" applyFill="1"/>
    <xf numFmtId="0" fontId="21" fillId="10" borderId="2" xfId="1" applyFont="1" applyFill="1" applyBorder="1" applyAlignment="1">
      <alignment horizontal="center"/>
    </xf>
    <xf numFmtId="0" fontId="21" fillId="0" borderId="2" xfId="1" applyFont="1" applyBorder="1" applyAlignment="1">
      <alignment horizontal="centerContinuous"/>
    </xf>
    <xf numFmtId="0" fontId="22" fillId="0" borderId="2" xfId="0" applyFont="1" applyBorder="1" applyAlignment="1">
      <alignment horizontal="centerContinuous"/>
    </xf>
    <xf numFmtId="0" fontId="23" fillId="0" borderId="0" xfId="0" applyFont="1"/>
    <xf numFmtId="0" fontId="24" fillId="0" borderId="0" xfId="7"/>
    <xf numFmtId="1" fontId="18" fillId="0" borderId="0" xfId="6" applyNumberFormat="1" applyAlignment="1">
      <alignment horizontal="center"/>
    </xf>
    <xf numFmtId="164" fontId="18" fillId="0" borderId="0" xfId="6" applyNumberFormat="1" applyAlignment="1">
      <alignment horizontal="center"/>
    </xf>
    <xf numFmtId="0" fontId="18" fillId="0" borderId="0" xfId="6" applyAlignment="1">
      <alignment horizontal="center"/>
    </xf>
    <xf numFmtId="0" fontId="24" fillId="0" borderId="1" xfId="7" applyBorder="1"/>
    <xf numFmtId="0" fontId="22" fillId="0" borderId="2" xfId="7" applyFont="1" applyBorder="1" applyAlignment="1">
      <alignment horizontal="center"/>
    </xf>
    <xf numFmtId="0" fontId="25" fillId="0" borderId="0" xfId="7" applyFont="1" applyAlignment="1">
      <alignment horizontal="center"/>
    </xf>
    <xf numFmtId="0" fontId="25" fillId="0" borderId="0" xfId="7" applyFont="1"/>
    <xf numFmtId="0" fontId="26" fillId="0" borderId="0" xfId="7" applyFont="1"/>
    <xf numFmtId="0" fontId="27" fillId="11" borderId="0" xfId="7" applyFont="1" applyFill="1"/>
    <xf numFmtId="0" fontId="27" fillId="11" borderId="1" xfId="7" applyFont="1" applyFill="1" applyBorder="1"/>
    <xf numFmtId="0" fontId="22" fillId="0" borderId="2" xfId="7" applyFont="1" applyBorder="1" applyAlignment="1">
      <alignment horizontal="centerContinuous"/>
    </xf>
    <xf numFmtId="164" fontId="24" fillId="0" borderId="0" xfId="7" applyNumberFormat="1" applyAlignment="1">
      <alignment horizontal="center"/>
    </xf>
    <xf numFmtId="0" fontId="24" fillId="0" borderId="0" xfId="7" applyAlignment="1">
      <alignment horizontal="center"/>
    </xf>
    <xf numFmtId="2" fontId="18" fillId="0" borderId="0" xfId="6" applyNumberFormat="1"/>
    <xf numFmtId="1" fontId="18" fillId="9" borderId="0" xfId="6" applyNumberFormat="1" applyFill="1"/>
    <xf numFmtId="0" fontId="28" fillId="12" borderId="0" xfId="0" applyFont="1" applyFill="1"/>
    <xf numFmtId="0" fontId="28" fillId="13" borderId="0" xfId="1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29" fillId="8" borderId="0" xfId="0" applyFont="1" applyFill="1"/>
    <xf numFmtId="2" fontId="0" fillId="0" borderId="0" xfId="0" applyNumberFormat="1"/>
    <xf numFmtId="0" fontId="0" fillId="17" borderId="0" xfId="0" applyFill="1"/>
    <xf numFmtId="0" fontId="0" fillId="18" borderId="0" xfId="0" applyFill="1"/>
    <xf numFmtId="0" fontId="0" fillId="10" borderId="0" xfId="0" applyFill="1"/>
    <xf numFmtId="0" fontId="0" fillId="13" borderId="0" xfId="0" applyFill="1"/>
    <xf numFmtId="0" fontId="2" fillId="19" borderId="0" xfId="1" applyFill="1"/>
    <xf numFmtId="0" fontId="2" fillId="20" borderId="0" xfId="1" applyFill="1"/>
    <xf numFmtId="0" fontId="2" fillId="7" borderId="0" xfId="1" applyFill="1"/>
    <xf numFmtId="0" fontId="2" fillId="13" borderId="0" xfId="1" applyFill="1"/>
    <xf numFmtId="0" fontId="0" fillId="8" borderId="0" xfId="0" applyFill="1"/>
    <xf numFmtId="0" fontId="0" fillId="21" borderId="0" xfId="0" applyFill="1"/>
    <xf numFmtId="0" fontId="1" fillId="21" borderId="0" xfId="0" applyFont="1" applyFill="1"/>
    <xf numFmtId="0" fontId="1" fillId="21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8" borderId="1" xfId="0" applyFill="1" applyBorder="1"/>
    <xf numFmtId="164" fontId="4" fillId="0" borderId="0" xfId="6" applyNumberFormat="1" applyFont="1" applyAlignment="1">
      <alignment horizontal="center"/>
    </xf>
    <xf numFmtId="0" fontId="4" fillId="0" borderId="0" xfId="6" applyFont="1" applyAlignment="1">
      <alignment horizontal="center"/>
    </xf>
  </cellXfs>
  <cellStyles count="8">
    <cellStyle name="Bad" xfId="4" builtinId="27"/>
    <cellStyle name="Good" xfId="3" builtinId="26"/>
    <cellStyle name="Neutral" xfId="5" builtinId="28"/>
    <cellStyle name="Normal" xfId="0" builtinId="0"/>
    <cellStyle name="Normal 2" xfId="2" xr:uid="{308FEB47-A6BA-4B1B-A2E7-5ECC6BF53E31}"/>
    <cellStyle name="Normal 2 2" xfId="6" xr:uid="{CB81EB17-6C92-4DF7-B3D0-B308F41B1397}"/>
    <cellStyle name="Normal 3" xfId="1" xr:uid="{9D500F18-D466-4F4F-967A-5C6925F45F63}"/>
    <cellStyle name="Normal 4" xfId="7" xr:uid="{ABE0899F-6CFA-4B4A-A905-991667C1F6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FC-4DD5-94F8-04321B0C218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FC-4DD5-94F8-04321B0C218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FC-4DD5-94F8-04321B0C218C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FC-4DD5-94F8-04321B0C218C}"/>
              </c:ext>
            </c:extLst>
          </c:dPt>
          <c:cat>
            <c:strRef>
              <c:f>'GDP per capita'!$V$2:$Y$2</c:f>
              <c:strCache>
                <c:ptCount val="4"/>
                <c:pt idx="0">
                  <c:v>Armenia</c:v>
                </c:pt>
                <c:pt idx="1">
                  <c:v>Azerbaijan</c:v>
                </c:pt>
                <c:pt idx="2">
                  <c:v>Georgia</c:v>
                </c:pt>
                <c:pt idx="3">
                  <c:v>Russian Federation</c:v>
                </c:pt>
              </c:strCache>
            </c:strRef>
          </c:cat>
          <c:val>
            <c:numRef>
              <c:f>'GDP per capita'!$O$16:$R$16</c:f>
              <c:numCache>
                <c:formatCode>General</c:formatCode>
                <c:ptCount val="4"/>
                <c:pt idx="0">
                  <c:v>12867495497.64695</c:v>
                </c:pt>
                <c:pt idx="1">
                  <c:v>53614408373.959106</c:v>
                </c:pt>
                <c:pt idx="2">
                  <c:v>18510819818.49567</c:v>
                </c:pt>
                <c:pt idx="3">
                  <c:v>1461551317106.208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0-4672-8240-0916F916E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CE-4919-98F5-8C673C792B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CE-4919-98F5-8C673C792B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CE-4919-98F5-8C673C792B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CE-4919-98F5-8C673C792B68}"/>
              </c:ext>
            </c:extLst>
          </c:dPt>
          <c:cat>
            <c:strRef>
              <c:f>'GDP per capita'!$O$2:$R$2</c:f>
              <c:strCache>
                <c:ptCount val="4"/>
                <c:pt idx="0">
                  <c:v>Armenia</c:v>
                </c:pt>
                <c:pt idx="1">
                  <c:v>Azerbaijan</c:v>
                </c:pt>
                <c:pt idx="2">
                  <c:v>Georgia</c:v>
                </c:pt>
                <c:pt idx="3">
                  <c:v>Russian Federation</c:v>
                </c:pt>
              </c:strCache>
            </c:strRef>
          </c:cat>
          <c:val>
            <c:numRef>
              <c:f>'GDP per capita'!$V$16:$Y$16</c:f>
              <c:numCache>
                <c:formatCode>General</c:formatCode>
                <c:ptCount val="4"/>
                <c:pt idx="0">
                  <c:v>2962500</c:v>
                </c:pt>
                <c:pt idx="1">
                  <c:v>10024283</c:v>
                </c:pt>
                <c:pt idx="2">
                  <c:v>3720161</c:v>
                </c:pt>
                <c:pt idx="3">
                  <c:v>145453291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E-4E37-9676-7394FA4A7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'GDP per capita'!$AD$2</c:f>
              <c:strCache>
                <c:ptCount val="1"/>
                <c:pt idx="0">
                  <c:v>Armenia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'GDP per capita'!$AC$3:$AC$16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capita'!$AD$3:$AD$16</c:f>
              <c:numCache>
                <c:formatCode>General</c:formatCode>
                <c:ptCount val="14"/>
                <c:pt idx="0">
                  <c:v>2551.4354635845211</c:v>
                </c:pt>
                <c:pt idx="1">
                  <c:v>2919.3734936373035</c:v>
                </c:pt>
                <c:pt idx="2">
                  <c:v>3141.3319350077413</c:v>
                </c:pt>
                <c:pt idx="3">
                  <c:v>2716.974362804709</c:v>
                </c:pt>
                <c:pt idx="4">
                  <c:v>2796.0814342804319</c:v>
                </c:pt>
                <c:pt idx="5">
                  <c:v>2943.8368711931512</c:v>
                </c:pt>
                <c:pt idx="6">
                  <c:v>3159.7586078688928</c:v>
                </c:pt>
                <c:pt idx="7">
                  <c:v>3266.2988299987346</c:v>
                </c:pt>
                <c:pt idx="8">
                  <c:v>3393.0925232688396</c:v>
                </c:pt>
                <c:pt idx="9">
                  <c:v>3512.3935027670905</c:v>
                </c:pt>
                <c:pt idx="10">
                  <c:v>3533.8850360700676</c:v>
                </c:pt>
                <c:pt idx="11">
                  <c:v>3815.3747426037021</c:v>
                </c:pt>
                <c:pt idx="12">
                  <c:v>4027.8339301097853</c:v>
                </c:pt>
                <c:pt idx="13">
                  <c:v>4343.4583958301937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9-4385-A052-05E66E50AC22}"/>
            </c:ext>
          </c:extLst>
        </c:ser>
        <c:ser>
          <c:idx val="1"/>
          <c:order val="1"/>
          <c:tx>
            <c:strRef>
              <c:f>'GDP per capita'!$AE$2</c:f>
              <c:strCache>
                <c:ptCount val="1"/>
                <c:pt idx="0">
                  <c:v>Azerbaijan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'GDP per capita'!$AC$3:$AC$16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capita'!$AE$3:$AE$16</c:f>
              <c:numCache>
                <c:formatCode>General</c:formatCode>
                <c:ptCount val="14"/>
                <c:pt idx="0">
                  <c:v>3501.1648250060261</c:v>
                </c:pt>
                <c:pt idx="1">
                  <c:v>4327.1136046884812</c:v>
                </c:pt>
                <c:pt idx="2">
                  <c:v>4693.0770796811566</c:v>
                </c:pt>
                <c:pt idx="3">
                  <c:v>5023.9672905028019</c:v>
                </c:pt>
                <c:pt idx="4">
                  <c:v>5215.2041542949592</c:v>
                </c:pt>
                <c:pt idx="5">
                  <c:v>5152.838502447441</c:v>
                </c:pt>
                <c:pt idx="6">
                  <c:v>5194.9209166508335</c:v>
                </c:pt>
                <c:pt idx="7">
                  <c:v>5426.0959415596126</c:v>
                </c:pt>
                <c:pt idx="8">
                  <c:v>5506.1816960031856</c:v>
                </c:pt>
                <c:pt idx="9">
                  <c:v>5500.503646284862</c:v>
                </c:pt>
                <c:pt idx="10">
                  <c:v>5270.7381657120031</c:v>
                </c:pt>
                <c:pt idx="11">
                  <c:v>5229.7098898585955</c:v>
                </c:pt>
                <c:pt idx="12">
                  <c:v>5262.3687047336762</c:v>
                </c:pt>
                <c:pt idx="13">
                  <c:v>5348.4531885182314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C9-4385-A052-05E66E50AC22}"/>
            </c:ext>
          </c:extLst>
        </c:ser>
        <c:ser>
          <c:idx val="2"/>
          <c:order val="2"/>
          <c:tx>
            <c:strRef>
              <c:f>'GDP per capita'!$AF$2</c:f>
              <c:strCache>
                <c:ptCount val="1"/>
                <c:pt idx="0">
                  <c:v>Georgia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'GDP per capita'!$AC$3:$AC$16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capita'!$AF$3:$AF$16</c:f>
              <c:numCache>
                <c:formatCode>General</c:formatCode>
                <c:ptCount val="14"/>
                <c:pt idx="0">
                  <c:v>2554.8125350391365</c:v>
                </c:pt>
                <c:pt idx="1">
                  <c:v>2891.1370233184598</c:v>
                </c:pt>
                <c:pt idx="2">
                  <c:v>2970.1585828242805</c:v>
                </c:pt>
                <c:pt idx="3">
                  <c:v>2887.256079359217</c:v>
                </c:pt>
                <c:pt idx="4">
                  <c:v>3090.0651366231846</c:v>
                </c:pt>
                <c:pt idx="5">
                  <c:v>3362.1030031967971</c:v>
                </c:pt>
                <c:pt idx="6">
                  <c:v>3609.7807986259963</c:v>
                </c:pt>
                <c:pt idx="7">
                  <c:v>3806.5060064905138</c:v>
                </c:pt>
                <c:pt idx="8">
                  <c:v>3960.3508009190073</c:v>
                </c:pt>
                <c:pt idx="9">
                  <c:v>4086.6223465964995</c:v>
                </c:pt>
                <c:pt idx="10">
                  <c:v>4225.0915490480565</c:v>
                </c:pt>
                <c:pt idx="11">
                  <c:v>4442.5074412737404</c:v>
                </c:pt>
                <c:pt idx="12">
                  <c:v>4713.6535484530314</c:v>
                </c:pt>
                <c:pt idx="13">
                  <c:v>4975.8114819481389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C9-4385-A052-05E66E50AC22}"/>
            </c:ext>
          </c:extLst>
        </c:ser>
        <c:ser>
          <c:idx val="3"/>
          <c:order val="3"/>
          <c:tx>
            <c:strRef>
              <c:f>'GDP per capita'!$AG$2</c:f>
              <c:strCache>
                <c:ptCount val="1"/>
                <c:pt idx="0">
                  <c:v>Russian Federation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'GDP per capita'!$AC$3:$AC$16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capita'!$AG$3:$AG$16</c:f>
              <c:numCache>
                <c:formatCode>General</c:formatCode>
                <c:ptCount val="14"/>
                <c:pt idx="0">
                  <c:v>7949.8968790137515</c:v>
                </c:pt>
                <c:pt idx="1">
                  <c:v>8640.4058908334118</c:v>
                </c:pt>
                <c:pt idx="2">
                  <c:v>9093.7000771478979</c:v>
                </c:pt>
                <c:pt idx="3">
                  <c:v>8381.8681106956574</c:v>
                </c:pt>
                <c:pt idx="4">
                  <c:v>8755.120551409389</c:v>
                </c:pt>
                <c:pt idx="5">
                  <c:v>9120.8202111659484</c:v>
                </c:pt>
                <c:pt idx="6">
                  <c:v>9464.0107485263998</c:v>
                </c:pt>
                <c:pt idx="7">
                  <c:v>9601.5366512921228</c:v>
                </c:pt>
                <c:pt idx="8">
                  <c:v>9643.288481520909</c:v>
                </c:pt>
                <c:pt idx="9">
                  <c:v>9426.6830247003563</c:v>
                </c:pt>
                <c:pt idx="10">
                  <c:v>9420.5342782626685</c:v>
                </c:pt>
                <c:pt idx="11">
                  <c:v>9574.192580204186</c:v>
                </c:pt>
                <c:pt idx="12">
                  <c:v>9835.8659397908032</c:v>
                </c:pt>
                <c:pt idx="13">
                  <c:v>10048.251964998221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C9-4385-A052-05E66E50A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6700255"/>
        <c:axId val="881628735"/>
      </c:barChart>
      <c:catAx>
        <c:axId val="112670025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628735"/>
        <c:crosses val="autoZero"/>
        <c:auto val="1"/>
        <c:lblAlgn val="ctr"/>
        <c:lblOffset val="100"/>
        <c:noMultiLvlLbl val="0"/>
      </c:catAx>
      <c:valAx>
        <c:axId val="88162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0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GDP per capita 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'GDP per capita'!$O$21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'GDP per capita'!$N$23:$N$35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'GDP per capita'!$O$23:$O$35</c:f>
              <c:numCache>
                <c:formatCode>General</c:formatCode>
                <c:ptCount val="13"/>
                <c:pt idx="0">
                  <c:v>14.42082448504752</c:v>
                </c:pt>
                <c:pt idx="1">
                  <c:v>7.602947750748247</c:v>
                </c:pt>
                <c:pt idx="2">
                  <c:v>-13.508842140300164</c:v>
                </c:pt>
                <c:pt idx="3">
                  <c:v>2.9115869681619442</c:v>
                </c:pt>
                <c:pt idx="4">
                  <c:v>5.2843753082872533</c:v>
                </c:pt>
                <c:pt idx="5">
                  <c:v>7.3347045411598337</c:v>
                </c:pt>
                <c:pt idx="6">
                  <c:v>3.3717835870284452</c:v>
                </c:pt>
                <c:pt idx="7">
                  <c:v>3.881876701102517</c:v>
                </c:pt>
                <c:pt idx="8">
                  <c:v>3.5159954725702143</c:v>
                </c:pt>
                <c:pt idx="9">
                  <c:v>0.61187715118041119</c:v>
                </c:pt>
                <c:pt idx="10">
                  <c:v>7.9654460646142331</c:v>
                </c:pt>
                <c:pt idx="11">
                  <c:v>5.5685011785001253</c:v>
                </c:pt>
                <c:pt idx="12">
                  <c:v>7.8360843867216117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4-4339-B400-A646CD16CFC1}"/>
            </c:ext>
          </c:extLst>
        </c:ser>
        <c:ser>
          <c:idx val="1"/>
          <c:order val="1"/>
          <c:tx>
            <c:strRef>
              <c:f>'GDP per capita'!$P$21</c:f>
              <c:strCache>
                <c:ptCount val="1"/>
                <c:pt idx="0">
                  <c:v>Azerbaijan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'GDP per capita'!$N$23:$N$35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'GDP per capita'!$P$23:$P$35</c:f>
              <c:numCache>
                <c:formatCode>General</c:formatCode>
                <c:ptCount val="13"/>
                <c:pt idx="0">
                  <c:v>23.590685413704666</c:v>
                </c:pt>
                <c:pt idx="1">
                  <c:v>8.4574501255559689</c:v>
                </c:pt>
                <c:pt idx="2">
                  <c:v>7.0506025194908073</c:v>
                </c:pt>
                <c:pt idx="3">
                  <c:v>3.8064910206256166</c:v>
                </c:pt>
                <c:pt idx="4">
                  <c:v>-1.1958429622770799</c:v>
                </c:pt>
                <c:pt idx="5">
                  <c:v>0.81668412824125358</c:v>
                </c:pt>
                <c:pt idx="6">
                  <c:v>4.4500200988202465</c:v>
                </c:pt>
                <c:pt idx="7">
                  <c:v>1.4759369407787164</c:v>
                </c:pt>
                <c:pt idx="8">
                  <c:v>-0.10312136489148431</c:v>
                </c:pt>
                <c:pt idx="9">
                  <c:v>-4.1771716800523642</c:v>
                </c:pt>
                <c:pt idx="10">
                  <c:v>-0.77841612623277223</c:v>
                </c:pt>
                <c:pt idx="11">
                  <c:v>0.62448616773967425</c:v>
                </c:pt>
                <c:pt idx="12">
                  <c:v>1.6358504813073886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4-4339-B400-A646CD16CFC1}"/>
            </c:ext>
          </c:extLst>
        </c:ser>
        <c:ser>
          <c:idx val="2"/>
          <c:order val="2"/>
          <c:tx>
            <c:strRef>
              <c:f>'GDP per capita'!$Q$21</c:f>
              <c:strCache>
                <c:ptCount val="1"/>
                <c:pt idx="0">
                  <c:v>Georgia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'GDP per capita'!$N$23:$N$35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'GDP per capita'!$Q$23:$Q$35</c:f>
              <c:numCache>
                <c:formatCode>General</c:formatCode>
                <c:ptCount val="13"/>
                <c:pt idx="0">
                  <c:v>13.164350952042406</c:v>
                </c:pt>
                <c:pt idx="1">
                  <c:v>2.733234670943387</c:v>
                </c:pt>
                <c:pt idx="2">
                  <c:v>-2.7911810481928128</c:v>
                </c:pt>
                <c:pt idx="3">
                  <c:v>7.0242836689767403</c:v>
                </c:pt>
                <c:pt idx="4">
                  <c:v>8.8036288733672077</c:v>
                </c:pt>
                <c:pt idx="5">
                  <c:v>7.3667521546394958</c:v>
                </c:pt>
                <c:pt idx="6">
                  <c:v>5.4497826554841682</c:v>
                </c:pt>
                <c:pt idx="7">
                  <c:v>4.0416275231451397</c:v>
                </c:pt>
                <c:pt idx="8">
                  <c:v>3.1883929486294664</c:v>
                </c:pt>
                <c:pt idx="9">
                  <c:v>3.3883532831674472</c:v>
                </c:pt>
                <c:pt idx="10">
                  <c:v>5.1458267756273628</c:v>
                </c:pt>
                <c:pt idx="11">
                  <c:v>6.103447450873575</c:v>
                </c:pt>
                <c:pt idx="12">
                  <c:v>5.5616716587315764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64-4339-B400-A646CD16CFC1}"/>
            </c:ext>
          </c:extLst>
        </c:ser>
        <c:ser>
          <c:idx val="3"/>
          <c:order val="3"/>
          <c:tx>
            <c:strRef>
              <c:f>'GDP per capita'!$R$21</c:f>
              <c:strCache>
                <c:ptCount val="1"/>
                <c:pt idx="0">
                  <c:v>Russian Federation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'GDP per capita'!$N$23:$N$35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'GDP per capita'!$R$23:$R$35</c:f>
              <c:numCache>
                <c:formatCode>General</c:formatCode>
                <c:ptCount val="13"/>
                <c:pt idx="0">
                  <c:v>8.6857606120964359</c:v>
                </c:pt>
                <c:pt idx="1">
                  <c:v>5.2462140325535502</c:v>
                </c:pt>
                <c:pt idx="2">
                  <c:v>-7.8277484457734161</c:v>
                </c:pt>
                <c:pt idx="3">
                  <c:v>4.453093699212995</c:v>
                </c:pt>
                <c:pt idx="4">
                  <c:v>4.17698028952542</c:v>
                </c:pt>
                <c:pt idx="5">
                  <c:v>3.7627157362482428</c:v>
                </c:pt>
                <c:pt idx="6">
                  <c:v>1.4531460965123753</c:v>
                </c:pt>
                <c:pt idx="7">
                  <c:v>0.43484529346839013</c:v>
                </c:pt>
                <c:pt idx="8">
                  <c:v>-2.2461783367325996</c:v>
                </c:pt>
                <c:pt idx="9">
                  <c:v>-6.5227041384297038E-2</c:v>
                </c:pt>
                <c:pt idx="10">
                  <c:v>1.6310996531913802</c:v>
                </c:pt>
                <c:pt idx="11">
                  <c:v>2.7331115119582914</c:v>
                </c:pt>
                <c:pt idx="12">
                  <c:v>2.1593017483922163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64-4339-B400-A646CD16C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6722063"/>
        <c:axId val="1136718223"/>
      </c:lineChart>
      <c:catAx>
        <c:axId val="113672206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18223"/>
        <c:crosses val="autoZero"/>
        <c:auto val="1"/>
        <c:lblAlgn val="ctr"/>
        <c:lblOffset val="100"/>
        <c:noMultiLvlLbl val="0"/>
      </c:catAx>
      <c:valAx>
        <c:axId val="113671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72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GDP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'GDP per capita'!$AD$2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'GDP per capita'!$AC$3:$AC$16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capita'!$AD$3:$AD$16</c:f>
              <c:numCache>
                <c:formatCode>General</c:formatCode>
                <c:ptCount val="14"/>
                <c:pt idx="0">
                  <c:v>2551.4354635845211</c:v>
                </c:pt>
                <c:pt idx="1">
                  <c:v>2919.3734936373035</c:v>
                </c:pt>
                <c:pt idx="2">
                  <c:v>3141.3319350077413</c:v>
                </c:pt>
                <c:pt idx="3">
                  <c:v>2716.974362804709</c:v>
                </c:pt>
                <c:pt idx="4">
                  <c:v>2796.0814342804319</c:v>
                </c:pt>
                <c:pt idx="5">
                  <c:v>2943.8368711931512</c:v>
                </c:pt>
                <c:pt idx="6">
                  <c:v>3159.7586078688928</c:v>
                </c:pt>
                <c:pt idx="7">
                  <c:v>3266.2988299987346</c:v>
                </c:pt>
                <c:pt idx="8">
                  <c:v>3393.0925232688396</c:v>
                </c:pt>
                <c:pt idx="9">
                  <c:v>3512.3935027670905</c:v>
                </c:pt>
                <c:pt idx="10">
                  <c:v>3533.8850360700676</c:v>
                </c:pt>
                <c:pt idx="11">
                  <c:v>3815.3747426037021</c:v>
                </c:pt>
                <c:pt idx="12">
                  <c:v>4027.8339301097853</c:v>
                </c:pt>
                <c:pt idx="13">
                  <c:v>4343.4583958301937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B-46B6-89FE-1BD7D9C9BAB6}"/>
            </c:ext>
          </c:extLst>
        </c:ser>
        <c:ser>
          <c:idx val="1"/>
          <c:order val="1"/>
          <c:tx>
            <c:strRef>
              <c:f>'GDP per capita'!$AE$2</c:f>
              <c:strCache>
                <c:ptCount val="1"/>
                <c:pt idx="0">
                  <c:v>Azerbaijan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'GDP per capita'!$AC$3:$AC$16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capita'!$AE$3:$AE$16</c:f>
              <c:numCache>
                <c:formatCode>General</c:formatCode>
                <c:ptCount val="14"/>
                <c:pt idx="0">
                  <c:v>3501.1648250060261</c:v>
                </c:pt>
                <c:pt idx="1">
                  <c:v>4327.1136046884812</c:v>
                </c:pt>
                <c:pt idx="2">
                  <c:v>4693.0770796811566</c:v>
                </c:pt>
                <c:pt idx="3">
                  <c:v>5023.9672905028019</c:v>
                </c:pt>
                <c:pt idx="4">
                  <c:v>5215.2041542949592</c:v>
                </c:pt>
                <c:pt idx="5">
                  <c:v>5152.838502447441</c:v>
                </c:pt>
                <c:pt idx="6">
                  <c:v>5194.9209166508335</c:v>
                </c:pt>
                <c:pt idx="7">
                  <c:v>5426.0959415596126</c:v>
                </c:pt>
                <c:pt idx="8">
                  <c:v>5506.1816960031856</c:v>
                </c:pt>
                <c:pt idx="9">
                  <c:v>5500.503646284862</c:v>
                </c:pt>
                <c:pt idx="10">
                  <c:v>5270.7381657120031</c:v>
                </c:pt>
                <c:pt idx="11">
                  <c:v>5229.7098898585955</c:v>
                </c:pt>
                <c:pt idx="12">
                  <c:v>5262.3687047336762</c:v>
                </c:pt>
                <c:pt idx="13">
                  <c:v>5348.4531885182314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B-46B6-89FE-1BD7D9C9BAB6}"/>
            </c:ext>
          </c:extLst>
        </c:ser>
        <c:ser>
          <c:idx val="2"/>
          <c:order val="2"/>
          <c:tx>
            <c:strRef>
              <c:f>'GDP per capita'!$AF$2</c:f>
              <c:strCache>
                <c:ptCount val="1"/>
                <c:pt idx="0">
                  <c:v>Georgia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'GDP per capita'!$AC$3:$AC$16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capita'!$AF$3:$AF$16</c:f>
              <c:numCache>
                <c:formatCode>General</c:formatCode>
                <c:ptCount val="14"/>
                <c:pt idx="0">
                  <c:v>2554.8125350391365</c:v>
                </c:pt>
                <c:pt idx="1">
                  <c:v>2891.1370233184598</c:v>
                </c:pt>
                <c:pt idx="2">
                  <c:v>2970.1585828242805</c:v>
                </c:pt>
                <c:pt idx="3">
                  <c:v>2887.256079359217</c:v>
                </c:pt>
                <c:pt idx="4">
                  <c:v>3090.0651366231846</c:v>
                </c:pt>
                <c:pt idx="5">
                  <c:v>3362.1030031967971</c:v>
                </c:pt>
                <c:pt idx="6">
                  <c:v>3609.7807986259963</c:v>
                </c:pt>
                <c:pt idx="7">
                  <c:v>3806.5060064905138</c:v>
                </c:pt>
                <c:pt idx="8">
                  <c:v>3960.3508009190073</c:v>
                </c:pt>
                <c:pt idx="9">
                  <c:v>4086.6223465964995</c:v>
                </c:pt>
                <c:pt idx="10">
                  <c:v>4225.0915490480565</c:v>
                </c:pt>
                <c:pt idx="11">
                  <c:v>4442.5074412737404</c:v>
                </c:pt>
                <c:pt idx="12">
                  <c:v>4713.6535484530314</c:v>
                </c:pt>
                <c:pt idx="13">
                  <c:v>4975.8114819481389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5B-46B6-89FE-1BD7D9C9BAB6}"/>
            </c:ext>
          </c:extLst>
        </c:ser>
        <c:ser>
          <c:idx val="3"/>
          <c:order val="3"/>
          <c:tx>
            <c:strRef>
              <c:f>'GDP per capita'!$AG$2</c:f>
              <c:strCache>
                <c:ptCount val="1"/>
                <c:pt idx="0">
                  <c:v>Russian Federation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'GDP per capita'!$AC$3:$AC$16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capita'!$AG$3:$AG$16</c:f>
              <c:numCache>
                <c:formatCode>General</c:formatCode>
                <c:ptCount val="14"/>
                <c:pt idx="0">
                  <c:v>7949.8968790137515</c:v>
                </c:pt>
                <c:pt idx="1">
                  <c:v>8640.4058908334118</c:v>
                </c:pt>
                <c:pt idx="2">
                  <c:v>9093.7000771478979</c:v>
                </c:pt>
                <c:pt idx="3">
                  <c:v>8381.8681106956574</c:v>
                </c:pt>
                <c:pt idx="4">
                  <c:v>8755.120551409389</c:v>
                </c:pt>
                <c:pt idx="5">
                  <c:v>9120.8202111659484</c:v>
                </c:pt>
                <c:pt idx="6">
                  <c:v>9464.0107485263998</c:v>
                </c:pt>
                <c:pt idx="7">
                  <c:v>9601.5366512921228</c:v>
                </c:pt>
                <c:pt idx="8">
                  <c:v>9643.288481520909</c:v>
                </c:pt>
                <c:pt idx="9">
                  <c:v>9426.6830247003563</c:v>
                </c:pt>
                <c:pt idx="10">
                  <c:v>9420.5342782626685</c:v>
                </c:pt>
                <c:pt idx="11">
                  <c:v>9574.192580204186</c:v>
                </c:pt>
                <c:pt idx="12">
                  <c:v>9835.8659397908032</c:v>
                </c:pt>
                <c:pt idx="13">
                  <c:v>10048.251964998221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5B-46B6-89FE-1BD7D9C9B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4504511"/>
        <c:axId val="1084516511"/>
      </c:lineChart>
      <c:catAx>
        <c:axId val="108450451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16511"/>
        <c:crosses val="autoZero"/>
        <c:auto val="1"/>
        <c:lblAlgn val="ctr"/>
        <c:lblOffset val="100"/>
        <c:noMultiLvlLbl val="0"/>
      </c:catAx>
      <c:valAx>
        <c:axId val="108451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0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GDP per capita growth rate 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AB-45B3-957C-098C54DC577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AB-45B3-957C-098C54DC577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AB-45B3-957C-098C54DC5771}"/>
              </c:ext>
            </c:extLst>
          </c:dPt>
          <c:cat>
            <c:strRef>
              <c:f>'GDP per capita'!$U$21:$U$24</c:f>
              <c:strCache>
                <c:ptCount val="4"/>
                <c:pt idx="0">
                  <c:v>Armenia</c:v>
                </c:pt>
                <c:pt idx="1">
                  <c:v>Azerbaijan</c:v>
                </c:pt>
                <c:pt idx="2">
                  <c:v>Georgia</c:v>
                </c:pt>
                <c:pt idx="3">
                  <c:v>Russian Federation</c:v>
                </c:pt>
              </c:strCache>
            </c:strRef>
          </c:cat>
          <c:val>
            <c:numRef>
              <c:f>'GDP per capita'!$V$21:$V$24</c:f>
              <c:numCache>
                <c:formatCode>General</c:formatCode>
                <c:ptCount val="4"/>
                <c:pt idx="0">
                  <c:v>4.3690124196017077</c:v>
                </c:pt>
                <c:pt idx="1">
                  <c:v>3.5118195971392803</c:v>
                </c:pt>
                <c:pt idx="2">
                  <c:v>5.3215516590334744</c:v>
                </c:pt>
                <c:pt idx="3">
                  <c:v>1.8920857576360759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B-45B3-957C-098C54DC5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080047"/>
        <c:axId val="1137077167"/>
      </c:barChart>
      <c:catAx>
        <c:axId val="113708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077167"/>
        <c:crosses val="autoZero"/>
        <c:auto val="1"/>
        <c:lblAlgn val="ctr"/>
        <c:lblOffset val="100"/>
        <c:noMultiLvlLbl val="0"/>
      </c:catAx>
      <c:valAx>
        <c:axId val="113707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08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Overall Life ladder_GDP Per Capita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'GDP per capita'!$D$1</c:f>
              <c:strCache>
                <c:ptCount val="1"/>
                <c:pt idx="0">
                  <c:v>GDP per capita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983764558906057"/>
                  <c:y val="0.546490522918789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'GDP per capita'!$C$2:$C$57</c:f>
              <c:numCache>
                <c:formatCode>0.000</c:formatCode>
                <c:ptCount val="56"/>
                <c:pt idx="0">
                  <c:v>4.2893109321594238</c:v>
                </c:pt>
                <c:pt idx="1">
                  <c:v>4.8815155029296875</c:v>
                </c:pt>
                <c:pt idx="2">
                  <c:v>4.6519722938537598</c:v>
                </c:pt>
                <c:pt idx="3">
                  <c:v>4.177581787109375</c:v>
                </c:pt>
                <c:pt idx="4">
                  <c:v>4.3678112030029297</c:v>
                </c:pt>
                <c:pt idx="5">
                  <c:v>4.2604913711547852</c:v>
                </c:pt>
                <c:pt idx="6">
                  <c:v>4.3197116851806641</c:v>
                </c:pt>
                <c:pt idx="7">
                  <c:v>4.277191162109375</c:v>
                </c:pt>
                <c:pt idx="8">
                  <c:v>4.4530830383300781</c:v>
                </c:pt>
                <c:pt idx="9">
                  <c:v>4.3483195304870605</c:v>
                </c:pt>
                <c:pt idx="10">
                  <c:v>4.3254718780517578</c:v>
                </c:pt>
                <c:pt idx="11">
                  <c:v>4.2877364158630371</c:v>
                </c:pt>
                <c:pt idx="12">
                  <c:v>5.0624485015869141</c:v>
                </c:pt>
                <c:pt idx="13">
                  <c:v>5.4880867004394531</c:v>
                </c:pt>
                <c:pt idx="14">
                  <c:v>4.7278709411621094</c:v>
                </c:pt>
                <c:pt idx="15">
                  <c:v>4.5681595802307129</c:v>
                </c:pt>
                <c:pt idx="16">
                  <c:v>4.8171892166137695</c:v>
                </c:pt>
                <c:pt idx="17">
                  <c:v>4.5737252235412598</c:v>
                </c:pt>
                <c:pt idx="18">
                  <c:v>4.2186107635498047</c:v>
                </c:pt>
                <c:pt idx="19">
                  <c:v>4.6804695129394531</c:v>
                </c:pt>
                <c:pt idx="20">
                  <c:v>4.9107718467712402</c:v>
                </c:pt>
                <c:pt idx="21">
                  <c:v>5.4811782836914063</c:v>
                </c:pt>
                <c:pt idx="22">
                  <c:v>5.2515301704406738</c:v>
                </c:pt>
                <c:pt idx="23">
                  <c:v>5.1467747688293457</c:v>
                </c:pt>
                <c:pt idx="24">
                  <c:v>5.3038949966430664</c:v>
                </c:pt>
                <c:pt idx="25">
                  <c:v>5.1522793769836426</c:v>
                </c:pt>
                <c:pt idx="26">
                  <c:v>5.1679954528808594</c:v>
                </c:pt>
                <c:pt idx="27">
                  <c:v>5.1733894348144531</c:v>
                </c:pt>
                <c:pt idx="28">
                  <c:v>3.6751084327697754</c:v>
                </c:pt>
                <c:pt idx="29">
                  <c:v>3.7071945667266846</c:v>
                </c:pt>
                <c:pt idx="30">
                  <c:v>4.156090259552002</c:v>
                </c:pt>
                <c:pt idx="31">
                  <c:v>3.8006391525268555</c:v>
                </c:pt>
                <c:pt idx="32">
                  <c:v>4.101837158203125</c:v>
                </c:pt>
                <c:pt idx="33">
                  <c:v>4.2030305862426758</c:v>
                </c:pt>
                <c:pt idx="34">
                  <c:v>4.2544455528259277</c:v>
                </c:pt>
                <c:pt idx="35">
                  <c:v>4.3489208221435547</c:v>
                </c:pt>
                <c:pt idx="36">
                  <c:v>4.2875080108642578</c:v>
                </c:pt>
                <c:pt idx="37">
                  <c:v>4.1219406127929688</c:v>
                </c:pt>
                <c:pt idx="38">
                  <c:v>4.4483861923217773</c:v>
                </c:pt>
                <c:pt idx="39">
                  <c:v>4.4507746696472168</c:v>
                </c:pt>
                <c:pt idx="40">
                  <c:v>4.6590971946716309</c:v>
                </c:pt>
                <c:pt idx="41">
                  <c:v>4.8918356895446777</c:v>
                </c:pt>
                <c:pt idx="42">
                  <c:v>4.963742733001709</c:v>
                </c:pt>
                <c:pt idx="43">
                  <c:v>5.222867488861084</c:v>
                </c:pt>
                <c:pt idx="44">
                  <c:v>5.6187539100646973</c:v>
                </c:pt>
                <c:pt idx="45">
                  <c:v>5.1582279205322266</c:v>
                </c:pt>
                <c:pt idx="46">
                  <c:v>5.3847732543945313</c:v>
                </c:pt>
                <c:pt idx="47">
                  <c:v>5.3887662887573242</c:v>
                </c:pt>
                <c:pt idx="48">
                  <c:v>5.6207356452941895</c:v>
                </c:pt>
                <c:pt idx="49">
                  <c:v>5.537177562713623</c:v>
                </c:pt>
                <c:pt idx="50">
                  <c:v>6.0369768142700195</c:v>
                </c:pt>
                <c:pt idx="51">
                  <c:v>5.9955387115478516</c:v>
                </c:pt>
                <c:pt idx="52">
                  <c:v>5.8549456596374512</c:v>
                </c:pt>
                <c:pt idx="53">
                  <c:v>5.5787429809570313</c:v>
                </c:pt>
                <c:pt idx="54">
                  <c:v>5.5135002136230469</c:v>
                </c:pt>
                <c:pt idx="55">
                  <c:v>5.440523624420166</c:v>
                </c:pt>
              </c:numCache>
            </c:numRef>
          </c:xVal>
          <c:yVal>
            <c:numRef>
              <c:f>'GDP per capita'!$D$2:$D$57</c:f>
              <c:numCache>
                <c:formatCode>General</c:formatCode>
                <c:ptCount val="56"/>
                <c:pt idx="0">
                  <c:v>2551.4354635845211</c:v>
                </c:pt>
                <c:pt idx="1">
                  <c:v>2919.3734936373035</c:v>
                </c:pt>
                <c:pt idx="2">
                  <c:v>3141.3319350077413</c:v>
                </c:pt>
                <c:pt idx="3">
                  <c:v>2716.974362804709</c:v>
                </c:pt>
                <c:pt idx="4">
                  <c:v>2796.0814342804319</c:v>
                </c:pt>
                <c:pt idx="5">
                  <c:v>2943.8368711931512</c:v>
                </c:pt>
                <c:pt idx="6">
                  <c:v>3159.7586078688928</c:v>
                </c:pt>
                <c:pt idx="7">
                  <c:v>3266.2988299987346</c:v>
                </c:pt>
                <c:pt idx="8">
                  <c:v>3393.0925232688396</c:v>
                </c:pt>
                <c:pt idx="9">
                  <c:v>3512.3935027670905</c:v>
                </c:pt>
                <c:pt idx="10">
                  <c:v>3533.8850360700676</c:v>
                </c:pt>
                <c:pt idx="11">
                  <c:v>3815.3747426037021</c:v>
                </c:pt>
                <c:pt idx="12">
                  <c:v>4027.8339301097853</c:v>
                </c:pt>
                <c:pt idx="13">
                  <c:v>4343.4583958301937</c:v>
                </c:pt>
                <c:pt idx="14">
                  <c:v>3501.1648250060261</c:v>
                </c:pt>
                <c:pt idx="15">
                  <c:v>4327.1136046884812</c:v>
                </c:pt>
                <c:pt idx="16">
                  <c:v>4693.0770796811566</c:v>
                </c:pt>
                <c:pt idx="17">
                  <c:v>5023.9672905028019</c:v>
                </c:pt>
                <c:pt idx="18">
                  <c:v>5215.2041542949592</c:v>
                </c:pt>
                <c:pt idx="19">
                  <c:v>5152.838502447441</c:v>
                </c:pt>
                <c:pt idx="20">
                  <c:v>5194.9209166508335</c:v>
                </c:pt>
                <c:pt idx="21">
                  <c:v>5426.0959415596126</c:v>
                </c:pt>
                <c:pt idx="22">
                  <c:v>5506.1816960031856</c:v>
                </c:pt>
                <c:pt idx="23">
                  <c:v>5500.503646284862</c:v>
                </c:pt>
                <c:pt idx="24">
                  <c:v>5270.7381657120031</c:v>
                </c:pt>
                <c:pt idx="25">
                  <c:v>5229.7098898585955</c:v>
                </c:pt>
                <c:pt idx="26">
                  <c:v>5262.3687047336762</c:v>
                </c:pt>
                <c:pt idx="27">
                  <c:v>5348.4531885182314</c:v>
                </c:pt>
                <c:pt idx="28">
                  <c:v>2554.8125350391365</c:v>
                </c:pt>
                <c:pt idx="29">
                  <c:v>2891.1370233184598</c:v>
                </c:pt>
                <c:pt idx="30">
                  <c:v>2970.1585828242805</c:v>
                </c:pt>
                <c:pt idx="31">
                  <c:v>2887.256079359217</c:v>
                </c:pt>
                <c:pt idx="32">
                  <c:v>3090.0651366231846</c:v>
                </c:pt>
                <c:pt idx="33">
                  <c:v>3362.1030031967971</c:v>
                </c:pt>
                <c:pt idx="34">
                  <c:v>3609.7807986259963</c:v>
                </c:pt>
                <c:pt idx="35">
                  <c:v>3806.5060064905138</c:v>
                </c:pt>
                <c:pt idx="36">
                  <c:v>3960.3508009190073</c:v>
                </c:pt>
                <c:pt idx="37">
                  <c:v>4086.6223465964995</c:v>
                </c:pt>
                <c:pt idx="38">
                  <c:v>4225.0915490480565</c:v>
                </c:pt>
                <c:pt idx="39">
                  <c:v>4442.5074412737404</c:v>
                </c:pt>
                <c:pt idx="40">
                  <c:v>4713.6535484530314</c:v>
                </c:pt>
                <c:pt idx="41">
                  <c:v>4975.8114819481389</c:v>
                </c:pt>
                <c:pt idx="42">
                  <c:v>7949.8968790137515</c:v>
                </c:pt>
                <c:pt idx="43">
                  <c:v>8640.4058908334118</c:v>
                </c:pt>
                <c:pt idx="44">
                  <c:v>9093.7000771478979</c:v>
                </c:pt>
                <c:pt idx="45">
                  <c:v>8381.8681106956574</c:v>
                </c:pt>
                <c:pt idx="46">
                  <c:v>8755.120551409389</c:v>
                </c:pt>
                <c:pt idx="47">
                  <c:v>9120.8202111659484</c:v>
                </c:pt>
                <c:pt idx="48">
                  <c:v>9464.0107485263998</c:v>
                </c:pt>
                <c:pt idx="49">
                  <c:v>9601.5366512921228</c:v>
                </c:pt>
                <c:pt idx="50">
                  <c:v>9643.288481520909</c:v>
                </c:pt>
                <c:pt idx="51">
                  <c:v>9426.6830247003563</c:v>
                </c:pt>
                <c:pt idx="52">
                  <c:v>9420.5342782626685</c:v>
                </c:pt>
                <c:pt idx="53">
                  <c:v>9574.192580204186</c:v>
                </c:pt>
                <c:pt idx="54">
                  <c:v>9835.8659397908032</c:v>
                </c:pt>
                <c:pt idx="55">
                  <c:v>10048.251964998221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0-400C-83FC-B6E031A87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972543"/>
        <c:axId val="709968223"/>
      </c:scatterChart>
      <c:valAx>
        <c:axId val="70997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968223"/>
        <c:crosses val="autoZero"/>
        <c:crossBetween val="midCat"/>
      </c:valAx>
      <c:valAx>
        <c:axId val="7099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97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Armenia: Life ladder_GDP Per Capita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8742954421722794E-2"/>
                  <c:y val="0.578696569814706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'GDP per capita'!$C$2:$C$15</c:f>
              <c:numCache>
                <c:formatCode>0.000</c:formatCode>
                <c:ptCount val="14"/>
                <c:pt idx="0">
                  <c:v>4.2893109321594238</c:v>
                </c:pt>
                <c:pt idx="1">
                  <c:v>4.8815155029296875</c:v>
                </c:pt>
                <c:pt idx="2">
                  <c:v>4.6519722938537598</c:v>
                </c:pt>
                <c:pt idx="3">
                  <c:v>4.177581787109375</c:v>
                </c:pt>
                <c:pt idx="4">
                  <c:v>4.3678112030029297</c:v>
                </c:pt>
                <c:pt idx="5">
                  <c:v>4.2604913711547852</c:v>
                </c:pt>
                <c:pt idx="6">
                  <c:v>4.3197116851806641</c:v>
                </c:pt>
                <c:pt idx="7">
                  <c:v>4.277191162109375</c:v>
                </c:pt>
                <c:pt idx="8">
                  <c:v>4.4530830383300781</c:v>
                </c:pt>
                <c:pt idx="9">
                  <c:v>4.3483195304870605</c:v>
                </c:pt>
                <c:pt idx="10">
                  <c:v>4.3254718780517578</c:v>
                </c:pt>
                <c:pt idx="11">
                  <c:v>4.2877364158630371</c:v>
                </c:pt>
                <c:pt idx="12">
                  <c:v>5.0624485015869141</c:v>
                </c:pt>
                <c:pt idx="13">
                  <c:v>5.4880867004394531</c:v>
                </c:pt>
              </c:numCache>
            </c:numRef>
          </c:xVal>
          <c:yVal>
            <c:numRef>
              <c:f>'GDP per capita'!$D$2:$D$15</c:f>
              <c:numCache>
                <c:formatCode>General</c:formatCode>
                <c:ptCount val="14"/>
                <c:pt idx="0">
                  <c:v>2551.4354635845211</c:v>
                </c:pt>
                <c:pt idx="1">
                  <c:v>2919.3734936373035</c:v>
                </c:pt>
                <c:pt idx="2">
                  <c:v>3141.3319350077413</c:v>
                </c:pt>
                <c:pt idx="3">
                  <c:v>2716.974362804709</c:v>
                </c:pt>
                <c:pt idx="4">
                  <c:v>2796.0814342804319</c:v>
                </c:pt>
                <c:pt idx="5">
                  <c:v>2943.8368711931512</c:v>
                </c:pt>
                <c:pt idx="6">
                  <c:v>3159.7586078688928</c:v>
                </c:pt>
                <c:pt idx="7">
                  <c:v>3266.2988299987346</c:v>
                </c:pt>
                <c:pt idx="8">
                  <c:v>3393.0925232688396</c:v>
                </c:pt>
                <c:pt idx="9">
                  <c:v>3512.3935027670905</c:v>
                </c:pt>
                <c:pt idx="10">
                  <c:v>3533.8850360700676</c:v>
                </c:pt>
                <c:pt idx="11">
                  <c:v>3815.3747426037021</c:v>
                </c:pt>
                <c:pt idx="12">
                  <c:v>4027.8339301097853</c:v>
                </c:pt>
                <c:pt idx="13">
                  <c:v>4343.4583958301937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4-488A-939C-56B56BB1A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723215"/>
        <c:axId val="706724175"/>
      </c:scatterChart>
      <c:valAx>
        <c:axId val="70672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724175"/>
        <c:crosses val="autoZero"/>
        <c:crossBetween val="midCat"/>
      </c:valAx>
      <c:valAx>
        <c:axId val="70672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723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Azerbaijan: Life ladder_GDP Per Capita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0718331129421644E-2"/>
                  <c:y val="0.597303268222749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'GDP per capita'!$C$16:$C$29</c:f>
              <c:numCache>
                <c:formatCode>0.000</c:formatCode>
                <c:ptCount val="14"/>
                <c:pt idx="0">
                  <c:v>4.7278709411621094</c:v>
                </c:pt>
                <c:pt idx="1">
                  <c:v>4.5681595802307129</c:v>
                </c:pt>
                <c:pt idx="2">
                  <c:v>4.8171892166137695</c:v>
                </c:pt>
                <c:pt idx="3">
                  <c:v>4.5737252235412598</c:v>
                </c:pt>
                <c:pt idx="4">
                  <c:v>4.2186107635498047</c:v>
                </c:pt>
                <c:pt idx="5">
                  <c:v>4.6804695129394531</c:v>
                </c:pt>
                <c:pt idx="6">
                  <c:v>4.9107718467712402</c:v>
                </c:pt>
                <c:pt idx="7">
                  <c:v>5.4811782836914063</c:v>
                </c:pt>
                <c:pt idx="8">
                  <c:v>5.2515301704406738</c:v>
                </c:pt>
                <c:pt idx="9">
                  <c:v>5.1467747688293457</c:v>
                </c:pt>
                <c:pt idx="10">
                  <c:v>5.3038949966430664</c:v>
                </c:pt>
                <c:pt idx="11">
                  <c:v>5.1522793769836426</c:v>
                </c:pt>
                <c:pt idx="12">
                  <c:v>5.1679954528808594</c:v>
                </c:pt>
                <c:pt idx="13">
                  <c:v>5.1733894348144531</c:v>
                </c:pt>
              </c:numCache>
            </c:numRef>
          </c:xVal>
          <c:yVal>
            <c:numRef>
              <c:f>'GDP per capita'!$D$16:$D$29</c:f>
              <c:numCache>
                <c:formatCode>General</c:formatCode>
                <c:ptCount val="14"/>
                <c:pt idx="0">
                  <c:v>3501.1648250060261</c:v>
                </c:pt>
                <c:pt idx="1">
                  <c:v>4327.1136046884812</c:v>
                </c:pt>
                <c:pt idx="2">
                  <c:v>4693.0770796811566</c:v>
                </c:pt>
                <c:pt idx="3">
                  <c:v>5023.9672905028019</c:v>
                </c:pt>
                <c:pt idx="4">
                  <c:v>5215.2041542949592</c:v>
                </c:pt>
                <c:pt idx="5">
                  <c:v>5152.838502447441</c:v>
                </c:pt>
                <c:pt idx="6">
                  <c:v>5194.9209166508335</c:v>
                </c:pt>
                <c:pt idx="7">
                  <c:v>5426.0959415596126</c:v>
                </c:pt>
                <c:pt idx="8">
                  <c:v>5506.1816960031856</c:v>
                </c:pt>
                <c:pt idx="9">
                  <c:v>5500.503646284862</c:v>
                </c:pt>
                <c:pt idx="10">
                  <c:v>5270.7381657120031</c:v>
                </c:pt>
                <c:pt idx="11">
                  <c:v>5229.7098898585955</c:v>
                </c:pt>
                <c:pt idx="12">
                  <c:v>5262.3687047336762</c:v>
                </c:pt>
                <c:pt idx="13">
                  <c:v>5348.4531885182314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69-47D6-8B79-EBA024BD4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96256"/>
        <c:axId val="702385216"/>
      </c:scatterChart>
      <c:valAx>
        <c:axId val="70239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85216"/>
        <c:crosses val="autoZero"/>
        <c:crossBetween val="midCat"/>
      </c:valAx>
      <c:valAx>
        <c:axId val="70238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9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Georgia: Life ladder_GDP Per Capita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802856441119457"/>
                  <c:y val="0.574082919878898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'GDP per capita'!$C$30:$C$43</c:f>
              <c:numCache>
                <c:formatCode>0.000</c:formatCode>
                <c:ptCount val="14"/>
                <c:pt idx="0">
                  <c:v>3.6751084327697754</c:v>
                </c:pt>
                <c:pt idx="1">
                  <c:v>3.7071945667266846</c:v>
                </c:pt>
                <c:pt idx="2">
                  <c:v>4.156090259552002</c:v>
                </c:pt>
                <c:pt idx="3">
                  <c:v>3.8006391525268555</c:v>
                </c:pt>
                <c:pt idx="4">
                  <c:v>4.101837158203125</c:v>
                </c:pt>
                <c:pt idx="5">
                  <c:v>4.2030305862426758</c:v>
                </c:pt>
                <c:pt idx="6">
                  <c:v>4.2544455528259277</c:v>
                </c:pt>
                <c:pt idx="7">
                  <c:v>4.3489208221435547</c:v>
                </c:pt>
                <c:pt idx="8">
                  <c:v>4.2875080108642578</c:v>
                </c:pt>
                <c:pt idx="9">
                  <c:v>4.1219406127929688</c:v>
                </c:pt>
                <c:pt idx="10">
                  <c:v>4.4483861923217773</c:v>
                </c:pt>
                <c:pt idx="11">
                  <c:v>4.4507746696472168</c:v>
                </c:pt>
                <c:pt idx="12">
                  <c:v>4.6590971946716309</c:v>
                </c:pt>
                <c:pt idx="13">
                  <c:v>4.8918356895446777</c:v>
                </c:pt>
              </c:numCache>
            </c:numRef>
          </c:xVal>
          <c:yVal>
            <c:numRef>
              <c:f>'GDP per capita'!$D$30:$D$43</c:f>
              <c:numCache>
                <c:formatCode>General</c:formatCode>
                <c:ptCount val="14"/>
                <c:pt idx="0">
                  <c:v>2554.8125350391365</c:v>
                </c:pt>
                <c:pt idx="1">
                  <c:v>2891.1370233184598</c:v>
                </c:pt>
                <c:pt idx="2">
                  <c:v>2970.1585828242805</c:v>
                </c:pt>
                <c:pt idx="3">
                  <c:v>2887.256079359217</c:v>
                </c:pt>
                <c:pt idx="4">
                  <c:v>3090.0651366231846</c:v>
                </c:pt>
                <c:pt idx="5">
                  <c:v>3362.1030031967971</c:v>
                </c:pt>
                <c:pt idx="6">
                  <c:v>3609.7807986259963</c:v>
                </c:pt>
                <c:pt idx="7">
                  <c:v>3806.5060064905138</c:v>
                </c:pt>
                <c:pt idx="8">
                  <c:v>3960.3508009190073</c:v>
                </c:pt>
                <c:pt idx="9">
                  <c:v>4086.6223465964995</c:v>
                </c:pt>
                <c:pt idx="10">
                  <c:v>4225.0915490480565</c:v>
                </c:pt>
                <c:pt idx="11">
                  <c:v>4442.5074412737404</c:v>
                </c:pt>
                <c:pt idx="12">
                  <c:v>4713.6535484530314</c:v>
                </c:pt>
                <c:pt idx="13">
                  <c:v>4975.8114819481389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D-421A-A2C0-82D272F17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349231"/>
        <c:axId val="1164356911"/>
      </c:scatterChart>
      <c:valAx>
        <c:axId val="116434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56911"/>
        <c:crosses val="autoZero"/>
        <c:crossBetween val="midCat"/>
      </c:valAx>
      <c:valAx>
        <c:axId val="116435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4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Russia: Life ladder_GDP Per Capita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841360454943132"/>
                  <c:y val="0.540145086030912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'GDP per capita'!$C$44:$C$57</c:f>
              <c:numCache>
                <c:formatCode>0.000</c:formatCode>
                <c:ptCount val="14"/>
                <c:pt idx="0">
                  <c:v>4.963742733001709</c:v>
                </c:pt>
                <c:pt idx="1">
                  <c:v>5.222867488861084</c:v>
                </c:pt>
                <c:pt idx="2">
                  <c:v>5.6187539100646973</c:v>
                </c:pt>
                <c:pt idx="3">
                  <c:v>5.1582279205322266</c:v>
                </c:pt>
                <c:pt idx="4">
                  <c:v>5.3847732543945313</c:v>
                </c:pt>
                <c:pt idx="5">
                  <c:v>5.3887662887573242</c:v>
                </c:pt>
                <c:pt idx="6">
                  <c:v>5.6207356452941895</c:v>
                </c:pt>
                <c:pt idx="7">
                  <c:v>5.537177562713623</c:v>
                </c:pt>
                <c:pt idx="8">
                  <c:v>6.0369768142700195</c:v>
                </c:pt>
                <c:pt idx="9">
                  <c:v>5.9955387115478516</c:v>
                </c:pt>
                <c:pt idx="10">
                  <c:v>5.8549456596374512</c:v>
                </c:pt>
                <c:pt idx="11">
                  <c:v>5.5787429809570313</c:v>
                </c:pt>
                <c:pt idx="12">
                  <c:v>5.5135002136230469</c:v>
                </c:pt>
                <c:pt idx="13">
                  <c:v>5.440523624420166</c:v>
                </c:pt>
              </c:numCache>
            </c:numRef>
          </c:xVal>
          <c:yVal>
            <c:numRef>
              <c:f>'GDP per capita'!$D$44:$D$57</c:f>
              <c:numCache>
                <c:formatCode>General</c:formatCode>
                <c:ptCount val="14"/>
                <c:pt idx="0">
                  <c:v>7949.8968790137515</c:v>
                </c:pt>
                <c:pt idx="1">
                  <c:v>8640.4058908334118</c:v>
                </c:pt>
                <c:pt idx="2">
                  <c:v>9093.7000771478979</c:v>
                </c:pt>
                <c:pt idx="3">
                  <c:v>8381.8681106956574</c:v>
                </c:pt>
                <c:pt idx="4">
                  <c:v>8755.120551409389</c:v>
                </c:pt>
                <c:pt idx="5">
                  <c:v>9120.8202111659484</c:v>
                </c:pt>
                <c:pt idx="6">
                  <c:v>9464.0107485263998</c:v>
                </c:pt>
                <c:pt idx="7">
                  <c:v>9601.5366512921228</c:v>
                </c:pt>
                <c:pt idx="8">
                  <c:v>9643.288481520909</c:v>
                </c:pt>
                <c:pt idx="9">
                  <c:v>9426.6830247003563</c:v>
                </c:pt>
                <c:pt idx="10">
                  <c:v>9420.5342782626685</c:v>
                </c:pt>
                <c:pt idx="11">
                  <c:v>9574.192580204186</c:v>
                </c:pt>
                <c:pt idx="12">
                  <c:v>9835.8659397908032</c:v>
                </c:pt>
                <c:pt idx="13">
                  <c:v>10048.251964998221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5-4F47-A4D2-F150386AB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901391"/>
        <c:axId val="1172901871"/>
      </c:scatterChart>
      <c:valAx>
        <c:axId val="117290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01871"/>
        <c:crosses val="autoZero"/>
        <c:crossBetween val="midCat"/>
      </c:valAx>
      <c:valAx>
        <c:axId val="117290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01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'GDP per capita'!$O$2</c:f>
              <c:strCache>
                <c:ptCount val="1"/>
                <c:pt idx="0">
                  <c:v>Armenia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'GDP per capita'!$N$3:$N$16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capita'!$O$3:$O$16</c:f>
              <c:numCache>
                <c:formatCode>General</c:formatCode>
                <c:ptCount val="14"/>
                <c:pt idx="0">
                  <c:v>7978593838.1751566</c:v>
                </c:pt>
                <c:pt idx="1">
                  <c:v>9071661194.1285572</c:v>
                </c:pt>
                <c:pt idx="2">
                  <c:v>9697605816.5623989</c:v>
                </c:pt>
                <c:pt idx="3">
                  <c:v>8330243396.3592377</c:v>
                </c:pt>
                <c:pt idx="4">
                  <c:v>8513508751.0970592</c:v>
                </c:pt>
                <c:pt idx="5">
                  <c:v>8913643662.2857418</c:v>
                </c:pt>
                <c:pt idx="6">
                  <c:v>9555426006.0563183</c:v>
                </c:pt>
                <c:pt idx="7">
                  <c:v>9870755064.256176</c:v>
                </c:pt>
                <c:pt idx="8">
                  <c:v>10226102246.627628</c:v>
                </c:pt>
                <c:pt idx="9">
                  <c:v>10553337518.414</c:v>
                </c:pt>
                <c:pt idx="10">
                  <c:v>10574444193.432463</c:v>
                </c:pt>
                <c:pt idx="11">
                  <c:v>11367527508.11347</c:v>
                </c:pt>
                <c:pt idx="12">
                  <c:v>11958638938.495953</c:v>
                </c:pt>
                <c:pt idx="13">
                  <c:v>12867495497.64695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9-4FAC-B39E-00702FF8258B}"/>
            </c:ext>
          </c:extLst>
        </c:ser>
        <c:ser>
          <c:idx val="1"/>
          <c:order val="1"/>
          <c:tx>
            <c:strRef>
              <c:f>'GDP per capita'!$P$2</c:f>
              <c:strCache>
                <c:ptCount val="1"/>
                <c:pt idx="0">
                  <c:v>Azerbaijan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'GDP per capita'!$N$3:$N$16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capita'!$P$3:$P$16</c:f>
              <c:numCache>
                <c:formatCode>General</c:formatCode>
                <c:ptCount val="14"/>
                <c:pt idx="0">
                  <c:v>29705808016.004879</c:v>
                </c:pt>
                <c:pt idx="1">
                  <c:v>37132259975.913261</c:v>
                </c:pt>
                <c:pt idx="2">
                  <c:v>41127311680.07785</c:v>
                </c:pt>
                <c:pt idx="3">
                  <c:v>44950656172.180161</c:v>
                </c:pt>
                <c:pt idx="4">
                  <c:v>47220189860.765785</c:v>
                </c:pt>
                <c:pt idx="5">
                  <c:v>47267410115.707581</c:v>
                </c:pt>
                <c:pt idx="6">
                  <c:v>48290862738.26815</c:v>
                </c:pt>
                <c:pt idx="7">
                  <c:v>51096465688.574501</c:v>
                </c:pt>
                <c:pt idx="8">
                  <c:v>52501877459.744362</c:v>
                </c:pt>
                <c:pt idx="9">
                  <c:v>53076235354.746017</c:v>
                </c:pt>
                <c:pt idx="10">
                  <c:v>51430872122.242577</c:v>
                </c:pt>
                <c:pt idx="11">
                  <c:v>51533733835.092964</c:v>
                </c:pt>
                <c:pt idx="12">
                  <c:v>52306739842.619354</c:v>
                </c:pt>
                <c:pt idx="13">
                  <c:v>53614408373.959106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9-4FAC-B39E-00702FF8258B}"/>
            </c:ext>
          </c:extLst>
        </c:ser>
        <c:ser>
          <c:idx val="2"/>
          <c:order val="2"/>
          <c:tx>
            <c:strRef>
              <c:f>'GDP per capita'!$Q$2</c:f>
              <c:strCache>
                <c:ptCount val="1"/>
                <c:pt idx="0">
                  <c:v>Georgia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'GDP per capita'!$N$3:$N$16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capita'!$Q$3:$Q$16</c:f>
              <c:numCache>
                <c:formatCode>General</c:formatCode>
                <c:ptCount val="14"/>
                <c:pt idx="0">
                  <c:v>9913559155.9015083</c:v>
                </c:pt>
                <c:pt idx="1">
                  <c:v>11160245709.658939</c:v>
                </c:pt>
                <c:pt idx="2">
                  <c:v>11430503827.91152</c:v>
                </c:pt>
                <c:pt idx="3">
                  <c:v>11013204446.973305</c:v>
                </c:pt>
                <c:pt idx="4">
                  <c:v>11701134202.52533</c:v>
                </c:pt>
                <c:pt idx="5">
                  <c:v>12629541567.43158</c:v>
                </c:pt>
                <c:pt idx="6">
                  <c:v>13460417765.695713</c:v>
                </c:pt>
                <c:pt idx="7">
                  <c:v>14151325572.137575</c:v>
                </c:pt>
                <c:pt idx="8">
                  <c:v>14730184213.849369</c:v>
                </c:pt>
                <c:pt idx="9">
                  <c:v>15223796148.839621</c:v>
                </c:pt>
                <c:pt idx="10">
                  <c:v>15749049874.534376</c:v>
                </c:pt>
                <c:pt idx="11">
                  <c:v>16561685511.098269</c:v>
                </c:pt>
                <c:pt idx="12">
                  <c:v>17565660917.334095</c:v>
                </c:pt>
                <c:pt idx="13">
                  <c:v>18510819818.49567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59-4FAC-B39E-00702FF8258B}"/>
            </c:ext>
          </c:extLst>
        </c:ser>
        <c:ser>
          <c:idx val="3"/>
          <c:order val="3"/>
          <c:tx>
            <c:strRef>
              <c:f>'GDP per capita'!$R$2</c:f>
              <c:strCache>
                <c:ptCount val="1"/>
                <c:pt idx="0">
                  <c:v>Russian Federation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'GDP per capita'!$N$3:$N$16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capita'!$R$3:$R$16</c:f>
              <c:numCache>
                <c:formatCode>General</c:formatCode>
                <c:ptCount val="14"/>
                <c:pt idx="0">
                  <c:v>1137229862730.3501</c:v>
                </c:pt>
                <c:pt idx="1">
                  <c:v>1233894148246.7368</c:v>
                </c:pt>
                <c:pt idx="2">
                  <c:v>1298056264706.4734</c:v>
                </c:pt>
                <c:pt idx="3">
                  <c:v>1196807955075.782</c:v>
                </c:pt>
                <c:pt idx="4">
                  <c:v>1250664313044.698</c:v>
                </c:pt>
                <c:pt idx="5">
                  <c:v>1304443243520.4729</c:v>
                </c:pt>
                <c:pt idx="6">
                  <c:v>1356935163515.0227</c:v>
                </c:pt>
                <c:pt idx="7">
                  <c:v>1380755103919.4473</c:v>
                </c:pt>
                <c:pt idx="8">
                  <c:v>1390921151162.4626</c:v>
                </c:pt>
                <c:pt idx="9">
                  <c:v>1363482182197.7053</c:v>
                </c:pt>
                <c:pt idx="10">
                  <c:v>1366123111808.0288</c:v>
                </c:pt>
                <c:pt idx="11">
                  <c:v>1391065651845.6777</c:v>
                </c:pt>
                <c:pt idx="12">
                  <c:v>1430116278515.4929</c:v>
                </c:pt>
                <c:pt idx="13">
                  <c:v>1461551317106.208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59-4FAC-B39E-00702FF82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6913616"/>
        <c:axId val="1556915056"/>
      </c:barChart>
      <c:catAx>
        <c:axId val="15569136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15056"/>
        <c:crosses val="autoZero"/>
        <c:auto val="1"/>
        <c:lblAlgn val="ctr"/>
        <c:lblOffset val="100"/>
        <c:noMultiLvlLbl val="0"/>
      </c:catAx>
      <c:valAx>
        <c:axId val="155691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1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'GDP per capita'!$V$2</c:f>
              <c:strCache>
                <c:ptCount val="1"/>
                <c:pt idx="0">
                  <c:v>Armenia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'GDP per capita'!$U$3:$U$16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capita'!$V$3:$V$16</c:f>
              <c:numCache>
                <c:formatCode>General</c:formatCode>
                <c:ptCount val="14"/>
                <c:pt idx="0">
                  <c:v>3127100</c:v>
                </c:pt>
                <c:pt idx="1">
                  <c:v>3107400</c:v>
                </c:pt>
                <c:pt idx="2">
                  <c:v>3087100</c:v>
                </c:pt>
                <c:pt idx="3">
                  <c:v>3066000</c:v>
                </c:pt>
                <c:pt idx="4">
                  <c:v>3044800</c:v>
                </c:pt>
                <c:pt idx="5">
                  <c:v>3027900</c:v>
                </c:pt>
                <c:pt idx="6">
                  <c:v>3024100</c:v>
                </c:pt>
                <c:pt idx="7">
                  <c:v>3022000</c:v>
                </c:pt>
                <c:pt idx="8">
                  <c:v>3013800</c:v>
                </c:pt>
                <c:pt idx="9">
                  <c:v>3004600</c:v>
                </c:pt>
                <c:pt idx="10">
                  <c:v>2992300</c:v>
                </c:pt>
                <c:pt idx="11">
                  <c:v>2979400</c:v>
                </c:pt>
                <c:pt idx="12">
                  <c:v>2969000</c:v>
                </c:pt>
                <c:pt idx="13">
                  <c:v>2962500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D-4F6E-9024-2EF4FE9D5EC7}"/>
            </c:ext>
          </c:extLst>
        </c:ser>
        <c:ser>
          <c:idx val="1"/>
          <c:order val="1"/>
          <c:tx>
            <c:strRef>
              <c:f>'GDP per capita'!$W$2</c:f>
              <c:strCache>
                <c:ptCount val="1"/>
                <c:pt idx="0">
                  <c:v>Azerbaijan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'GDP per capita'!$U$3:$U$16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capita'!$W$3:$W$16</c:f>
              <c:numCache>
                <c:formatCode>General</c:formatCode>
                <c:ptCount val="14"/>
                <c:pt idx="0">
                  <c:v>8484550</c:v>
                </c:pt>
                <c:pt idx="1">
                  <c:v>8581300</c:v>
                </c:pt>
                <c:pt idx="2">
                  <c:v>8763400</c:v>
                </c:pt>
                <c:pt idx="3">
                  <c:v>8947243</c:v>
                </c:pt>
                <c:pt idx="4">
                  <c:v>9054332</c:v>
                </c:pt>
                <c:pt idx="5">
                  <c:v>9173082</c:v>
                </c:pt>
                <c:pt idx="6">
                  <c:v>9295784</c:v>
                </c:pt>
                <c:pt idx="7">
                  <c:v>9416801</c:v>
                </c:pt>
                <c:pt idx="8">
                  <c:v>9535079</c:v>
                </c:pt>
                <c:pt idx="9">
                  <c:v>9649341</c:v>
                </c:pt>
                <c:pt idx="10">
                  <c:v>9757812</c:v>
                </c:pt>
                <c:pt idx="11">
                  <c:v>9854033</c:v>
                </c:pt>
                <c:pt idx="12">
                  <c:v>9939771</c:v>
                </c:pt>
                <c:pt idx="13">
                  <c:v>10024283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D-4F6E-9024-2EF4FE9D5EC7}"/>
            </c:ext>
          </c:extLst>
        </c:ser>
        <c:ser>
          <c:idx val="2"/>
          <c:order val="2"/>
          <c:tx>
            <c:strRef>
              <c:f>'GDP per capita'!$X$2</c:f>
              <c:strCache>
                <c:ptCount val="1"/>
                <c:pt idx="0">
                  <c:v>Georgia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'GDP per capita'!$U$3:$U$16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capita'!$X$3:$X$16</c:f>
              <c:numCache>
                <c:formatCode>General</c:formatCode>
                <c:ptCount val="14"/>
                <c:pt idx="0">
                  <c:v>3880347</c:v>
                </c:pt>
                <c:pt idx="1">
                  <c:v>3860158</c:v>
                </c:pt>
                <c:pt idx="2">
                  <c:v>3848449</c:v>
                </c:pt>
                <c:pt idx="3">
                  <c:v>3814419</c:v>
                </c:pt>
                <c:pt idx="4">
                  <c:v>3786695</c:v>
                </c:pt>
                <c:pt idx="5">
                  <c:v>3756441</c:v>
                </c:pt>
                <c:pt idx="6">
                  <c:v>3728874</c:v>
                </c:pt>
                <c:pt idx="7">
                  <c:v>3717668</c:v>
                </c:pt>
                <c:pt idx="8">
                  <c:v>3719414</c:v>
                </c:pt>
                <c:pt idx="9">
                  <c:v>3725276</c:v>
                </c:pt>
                <c:pt idx="10">
                  <c:v>3727505</c:v>
                </c:pt>
                <c:pt idx="11">
                  <c:v>3728004</c:v>
                </c:pt>
                <c:pt idx="12">
                  <c:v>3726549</c:v>
                </c:pt>
                <c:pt idx="13">
                  <c:v>3720161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ED-4F6E-9024-2EF4FE9D5EC7}"/>
            </c:ext>
          </c:extLst>
        </c:ser>
        <c:ser>
          <c:idx val="3"/>
          <c:order val="3"/>
          <c:tx>
            <c:strRef>
              <c:f>'GDP per capita'!$Y$2</c:f>
              <c:strCache>
                <c:ptCount val="1"/>
                <c:pt idx="0">
                  <c:v>Russian Federation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'GDP per capita'!$U$3:$U$16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'GDP per capita'!$Y$3:$Y$16</c:f>
              <c:numCache>
                <c:formatCode>General</c:formatCode>
                <c:ptCount val="14"/>
                <c:pt idx="0">
                  <c:v>143049637</c:v>
                </c:pt>
                <c:pt idx="1">
                  <c:v>142805114</c:v>
                </c:pt>
                <c:pt idx="2">
                  <c:v>142742366</c:v>
                </c:pt>
                <c:pt idx="3">
                  <c:v>142785348</c:v>
                </c:pt>
                <c:pt idx="4">
                  <c:v>142849468</c:v>
                </c:pt>
                <c:pt idx="5">
                  <c:v>143018195</c:v>
                </c:pt>
                <c:pt idx="6">
                  <c:v>143378447</c:v>
                </c:pt>
                <c:pt idx="7">
                  <c:v>143805638</c:v>
                </c:pt>
                <c:pt idx="8">
                  <c:v>144237223</c:v>
                </c:pt>
                <c:pt idx="9">
                  <c:v>144640716</c:v>
                </c:pt>
                <c:pt idx="10">
                  <c:v>145015460</c:v>
                </c:pt>
                <c:pt idx="11">
                  <c:v>145293260</c:v>
                </c:pt>
                <c:pt idx="12">
                  <c:v>145398106</c:v>
                </c:pt>
                <c:pt idx="13">
                  <c:v>145453291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ED-4F6E-9024-2EF4FE9D5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5320016"/>
        <c:axId val="1635320496"/>
      </c:barChart>
      <c:catAx>
        <c:axId val="16353200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20496"/>
        <c:crosses val="autoZero"/>
        <c:auto val="1"/>
        <c:lblAlgn val="ctr"/>
        <c:lblOffset val="100"/>
        <c:noMultiLvlLbl val="0"/>
      </c:catAx>
      <c:valAx>
        <c:axId val="163532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2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</a:t>
            </a:r>
            <a:r>
              <a:rPr lang="en-US" baseline="0"/>
              <a:t> Support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'Social Support (Growth)'!$B$3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'Social Support (Growth)'!$A$4:$A$17</c:f>
              <c:numCache>
                <c:formatCode>0</c:formatCode>
                <c:ptCount val="14"/>
                <c:pt idx="0" formatCode="General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'Social Support (Growth)'!$B$4:$B$17</c:f>
              <c:numCache>
                <c:formatCode>0.000</c:formatCode>
                <c:ptCount val="14"/>
                <c:pt idx="0">
                  <c:v>0.6818767786026001</c:v>
                </c:pt>
                <c:pt idx="1">
                  <c:v>0.75964432954788208</c:v>
                </c:pt>
                <c:pt idx="2">
                  <c:v>0.70948553085327148</c:v>
                </c:pt>
                <c:pt idx="3">
                  <c:v>0.68000692129135132</c:v>
                </c:pt>
                <c:pt idx="4">
                  <c:v>0.66034233570098877</c:v>
                </c:pt>
                <c:pt idx="5">
                  <c:v>0.70510846376419067</c:v>
                </c:pt>
                <c:pt idx="6">
                  <c:v>0.67644643783569336</c:v>
                </c:pt>
                <c:pt idx="7">
                  <c:v>0.72326004505157471</c:v>
                </c:pt>
                <c:pt idx="8">
                  <c:v>0.73876351118087769</c:v>
                </c:pt>
                <c:pt idx="9">
                  <c:v>0.72255104780197144</c:v>
                </c:pt>
                <c:pt idx="10">
                  <c:v>0.70921832323074341</c:v>
                </c:pt>
                <c:pt idx="11">
                  <c:v>0.6979249119758606</c:v>
                </c:pt>
                <c:pt idx="12">
                  <c:v>0.8144490122795105</c:v>
                </c:pt>
                <c:pt idx="13">
                  <c:v>0.78160387277603149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82-487B-B626-0C38CBC2F4A8}"/>
            </c:ext>
          </c:extLst>
        </c:ser>
        <c:ser>
          <c:idx val="1"/>
          <c:order val="1"/>
          <c:tx>
            <c:strRef>
              <c:f>'Social Support (Growth)'!$C$3</c:f>
              <c:strCache>
                <c:ptCount val="1"/>
                <c:pt idx="0">
                  <c:v>Azerbaijan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'Social Support (Growth)'!$A$4:$A$17</c:f>
              <c:numCache>
                <c:formatCode>0</c:formatCode>
                <c:ptCount val="14"/>
                <c:pt idx="0" formatCode="General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'Social Support (Growth)'!$C$4:$C$17</c:f>
              <c:numCache>
                <c:formatCode>0.000</c:formatCode>
                <c:ptCount val="14"/>
                <c:pt idx="0">
                  <c:v>0.85441488027572632</c:v>
                </c:pt>
                <c:pt idx="1">
                  <c:v>0.75324678421020508</c:v>
                </c:pt>
                <c:pt idx="2">
                  <c:v>0.68426722288131714</c:v>
                </c:pt>
                <c:pt idx="3">
                  <c:v>0.73597031831741333</c:v>
                </c:pt>
                <c:pt idx="4">
                  <c:v>0.68700098991394043</c:v>
                </c:pt>
                <c:pt idx="5">
                  <c:v>0.72519391775131226</c:v>
                </c:pt>
                <c:pt idx="6">
                  <c:v>0.76187324523925781</c:v>
                </c:pt>
                <c:pt idx="7">
                  <c:v>0.76969015598297119</c:v>
                </c:pt>
                <c:pt idx="8">
                  <c:v>0.79943335056304932</c:v>
                </c:pt>
                <c:pt idx="9">
                  <c:v>0.78570276498794556</c:v>
                </c:pt>
                <c:pt idx="10">
                  <c:v>0.77727103233337402</c:v>
                </c:pt>
                <c:pt idx="11">
                  <c:v>0.78703939914703369</c:v>
                </c:pt>
                <c:pt idx="12">
                  <c:v>0.78122991323471069</c:v>
                </c:pt>
                <c:pt idx="13">
                  <c:v>0.88675642013549805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82-487B-B626-0C38CBC2F4A8}"/>
            </c:ext>
          </c:extLst>
        </c:ser>
        <c:ser>
          <c:idx val="2"/>
          <c:order val="2"/>
          <c:tx>
            <c:strRef>
              <c:f>'Social Support (Growth)'!$D$3</c:f>
              <c:strCache>
                <c:ptCount val="1"/>
                <c:pt idx="0">
                  <c:v>Georgia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'Social Support (Growth)'!$A$4:$A$17</c:f>
              <c:numCache>
                <c:formatCode>0</c:formatCode>
                <c:ptCount val="14"/>
                <c:pt idx="0" formatCode="General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'Social Support (Growth)'!$D$4:$D$17</c:f>
              <c:numCache>
                <c:formatCode>0.000</c:formatCode>
                <c:ptCount val="14"/>
                <c:pt idx="0">
                  <c:v>0.64663594961166382</c:v>
                </c:pt>
                <c:pt idx="1">
                  <c:v>0.54836905002593994</c:v>
                </c:pt>
                <c:pt idx="2">
                  <c:v>0.6075127124786377</c:v>
                </c:pt>
                <c:pt idx="3">
                  <c:v>0.54351305961608887</c:v>
                </c:pt>
                <c:pt idx="4">
                  <c:v>0.54038894176483154</c:v>
                </c:pt>
                <c:pt idx="5">
                  <c:v>0.50293737649917603</c:v>
                </c:pt>
                <c:pt idx="6">
                  <c:v>0.53258645534515381</c:v>
                </c:pt>
                <c:pt idx="7">
                  <c:v>0.55916577577590942</c:v>
                </c:pt>
                <c:pt idx="8">
                  <c:v>0.55842000246047974</c:v>
                </c:pt>
                <c:pt idx="9">
                  <c:v>0.51737159490585327</c:v>
                </c:pt>
                <c:pt idx="10">
                  <c:v>0.53341227769851685</c:v>
                </c:pt>
                <c:pt idx="11">
                  <c:v>0.59049516916275024</c:v>
                </c:pt>
                <c:pt idx="12">
                  <c:v>0.61721855401992798</c:v>
                </c:pt>
                <c:pt idx="13">
                  <c:v>0.67497605085372925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82-487B-B626-0C38CBC2F4A8}"/>
            </c:ext>
          </c:extLst>
        </c:ser>
        <c:ser>
          <c:idx val="3"/>
          <c:order val="3"/>
          <c:tx>
            <c:strRef>
              <c:f>'Social Support (Growth)'!$E$3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'Social Support (Growth)'!$A$4:$A$17</c:f>
              <c:numCache>
                <c:formatCode>0</c:formatCode>
                <c:ptCount val="14"/>
                <c:pt idx="0" formatCode="General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'Social Support (Growth)'!$E$4:$E$17</c:f>
              <c:numCache>
                <c:formatCode>0.000</c:formatCode>
                <c:ptCount val="14"/>
                <c:pt idx="0">
                  <c:v>0.89470738172531128</c:v>
                </c:pt>
                <c:pt idx="1">
                  <c:v>0.88465636968612671</c:v>
                </c:pt>
                <c:pt idx="2">
                  <c:v>0.88231617212295532</c:v>
                </c:pt>
                <c:pt idx="3">
                  <c:v>0.90807557106018066</c:v>
                </c:pt>
                <c:pt idx="4">
                  <c:v>0.9088141918182373</c:v>
                </c:pt>
                <c:pt idx="5">
                  <c:v>0.88341689109802246</c:v>
                </c:pt>
                <c:pt idx="6">
                  <c:v>0.90129512548446655</c:v>
                </c:pt>
                <c:pt idx="7">
                  <c:v>0.88085699081420898</c:v>
                </c:pt>
                <c:pt idx="8">
                  <c:v>0.9317554235458374</c:v>
                </c:pt>
                <c:pt idx="9">
                  <c:v>0.92436325550079346</c:v>
                </c:pt>
                <c:pt idx="10">
                  <c:v>0.91092735528945923</c:v>
                </c:pt>
                <c:pt idx="11">
                  <c:v>0.89615130424499512</c:v>
                </c:pt>
                <c:pt idx="12">
                  <c:v>0.90872609615325928</c:v>
                </c:pt>
                <c:pt idx="13">
                  <c:v>0.9100988507270813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82-487B-B626-0C38CBC2F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71935"/>
        <c:axId val="389900687"/>
      </c:lineChart>
      <c:catAx>
        <c:axId val="10217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00687"/>
        <c:crosses val="autoZero"/>
        <c:auto val="1"/>
        <c:lblAlgn val="ctr"/>
        <c:lblOffset val="100"/>
        <c:noMultiLvlLbl val="0"/>
      </c:catAx>
      <c:valAx>
        <c:axId val="38990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7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</a:t>
            </a:r>
            <a:r>
              <a:rPr lang="en-US" baseline="0"/>
              <a:t> Support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'Social Support (Growth)'!$I$3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'Social Support (Growth)'!$H$4:$H$16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'Social Support (Growth)'!$I$4:$I$16</c:f>
              <c:numCache>
                <c:formatCode>0.000</c:formatCode>
                <c:ptCount val="13"/>
                <c:pt idx="0">
                  <c:v>11.404927310276561</c:v>
                </c:pt>
                <c:pt idx="1">
                  <c:v>-6.6029320227353816</c:v>
                </c:pt>
                <c:pt idx="2">
                  <c:v>-4.1549275186017329</c:v>
                </c:pt>
                <c:pt idx="3">
                  <c:v>-2.8918213880851353</c:v>
                </c:pt>
                <c:pt idx="4">
                  <c:v>6.77923035415869</c:v>
                </c:pt>
                <c:pt idx="5">
                  <c:v>-4.0649102090600842</c:v>
                </c:pt>
                <c:pt idx="6">
                  <c:v>6.9205194376753028</c:v>
                </c:pt>
                <c:pt idx="7">
                  <c:v>2.1435535165221862</c:v>
                </c:pt>
                <c:pt idx="8">
                  <c:v>-2.1945403547329256</c:v>
                </c:pt>
                <c:pt idx="9">
                  <c:v>-1.8452294286731292</c:v>
                </c:pt>
                <c:pt idx="10">
                  <c:v>-1.5923744332263272</c:v>
                </c:pt>
                <c:pt idx="11">
                  <c:v>16.695793244256649</c:v>
                </c:pt>
                <c:pt idx="12">
                  <c:v>-4.0328048789144937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B-47FE-B92B-90CE91A2D238}"/>
            </c:ext>
          </c:extLst>
        </c:ser>
        <c:ser>
          <c:idx val="1"/>
          <c:order val="1"/>
          <c:tx>
            <c:strRef>
              <c:f>'Social Support (Growth)'!$J$3</c:f>
              <c:strCache>
                <c:ptCount val="1"/>
                <c:pt idx="0">
                  <c:v>Azerbaijan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'Social Support (Growth)'!$H$4:$H$16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'Social Support (Growth)'!$J$4:$J$16</c:f>
              <c:numCache>
                <c:formatCode>0.000</c:formatCode>
                <c:ptCount val="13"/>
                <c:pt idx="0">
                  <c:v>-11.840628996638438</c:v>
                </c:pt>
                <c:pt idx="1">
                  <c:v>-9.1576310413610926</c:v>
                </c:pt>
                <c:pt idx="2">
                  <c:v>7.5559801357113736</c:v>
                </c:pt>
                <c:pt idx="3">
                  <c:v>-6.6537096924543553</c:v>
                </c:pt>
                <c:pt idx="4">
                  <c:v>5.5593701316436528</c:v>
                </c:pt>
                <c:pt idx="5">
                  <c:v>5.057864743499386</c:v>
                </c:pt>
                <c:pt idx="6">
                  <c:v>1.0260119767374907</c:v>
                </c:pt>
                <c:pt idx="7">
                  <c:v>3.8643075202245627</c:v>
                </c:pt>
                <c:pt idx="8">
                  <c:v>-1.7175397505537098</c:v>
                </c:pt>
                <c:pt idx="9">
                  <c:v>-1.0731453458358258</c:v>
                </c:pt>
                <c:pt idx="10">
                  <c:v>1.2567516872891751</c:v>
                </c:pt>
                <c:pt idx="11">
                  <c:v>-0.73814422996092954</c:v>
                </c:pt>
                <c:pt idx="12">
                  <c:v>13.507740181613251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8B-47FE-B92B-90CE91A2D238}"/>
            </c:ext>
          </c:extLst>
        </c:ser>
        <c:ser>
          <c:idx val="2"/>
          <c:order val="2"/>
          <c:tx>
            <c:strRef>
              <c:f>'Social Support (Growth)'!$K$3</c:f>
              <c:strCache>
                <c:ptCount val="1"/>
                <c:pt idx="0">
                  <c:v>Georgia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'Social Support (Growth)'!$H$4:$H$16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'Social Support (Growth)'!$K$4:$K$16</c:f>
              <c:numCache>
                <c:formatCode>0.000</c:formatCode>
                <c:ptCount val="13"/>
                <c:pt idx="0">
                  <c:v>-15.196634156319009</c:v>
                </c:pt>
                <c:pt idx="1">
                  <c:v>10.785375733714373</c:v>
                </c:pt>
                <c:pt idx="2">
                  <c:v>-10.534701833881259</c:v>
                </c:pt>
                <c:pt idx="3">
                  <c:v>-0.57480088030709853</c:v>
                </c:pt>
                <c:pt idx="4">
                  <c:v>-6.9304832817903641</c:v>
                </c:pt>
                <c:pt idx="5">
                  <c:v>5.895183025043349</c:v>
                </c:pt>
                <c:pt idx="6">
                  <c:v>4.9906114141656737</c:v>
                </c:pt>
                <c:pt idx="7">
                  <c:v>-0.13337248947234615</c:v>
                </c:pt>
                <c:pt idx="8">
                  <c:v>-7.3508125378319562</c:v>
                </c:pt>
                <c:pt idx="9">
                  <c:v>3.1004181425117698</c:v>
                </c:pt>
                <c:pt idx="10">
                  <c:v>10.701458112386474</c:v>
                </c:pt>
                <c:pt idx="11">
                  <c:v>4.5255890738392015</c:v>
                </c:pt>
                <c:pt idx="12">
                  <c:v>9.3577058657145393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8B-47FE-B92B-90CE91A2D238}"/>
            </c:ext>
          </c:extLst>
        </c:ser>
        <c:ser>
          <c:idx val="3"/>
          <c:order val="3"/>
          <c:tx>
            <c:strRef>
              <c:f>'Social Support (Growth)'!$L$3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'Social Support (Growth)'!$H$4:$H$16</c:f>
              <c:numCache>
                <c:formatCode>General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'Social Support (Growth)'!$L$4:$L$16</c:f>
              <c:numCache>
                <c:formatCode>0.000</c:formatCode>
                <c:ptCount val="13"/>
                <c:pt idx="0">
                  <c:v>-1.1233853933117972</c:v>
                </c:pt>
                <c:pt idx="1">
                  <c:v>-0.26453181634827105</c:v>
                </c:pt>
                <c:pt idx="2">
                  <c:v>2.9195202072795778</c:v>
                </c:pt>
                <c:pt idx="3">
                  <c:v>8.1339128768137536E-2</c:v>
                </c:pt>
                <c:pt idx="4">
                  <c:v>-2.7945537106328877</c:v>
                </c:pt>
                <c:pt idx="5">
                  <c:v>2.0237596277135652</c:v>
                </c:pt>
                <c:pt idx="6">
                  <c:v>-2.2676406531402917</c:v>
                </c:pt>
                <c:pt idx="7">
                  <c:v>5.7782856084937348</c:v>
                </c:pt>
                <c:pt idx="8">
                  <c:v>-0.79335927199787204</c:v>
                </c:pt>
                <c:pt idx="9">
                  <c:v>-1.4535303227793324</c:v>
                </c:pt>
                <c:pt idx="10">
                  <c:v>-1.6220888481023634</c:v>
                </c:pt>
                <c:pt idx="11">
                  <c:v>1.4031996437095393</c:v>
                </c:pt>
                <c:pt idx="12">
                  <c:v>0.1510636240813428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8B-47FE-B92B-90CE91A2D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545967"/>
        <c:axId val="2125038703"/>
      </c:lineChart>
      <c:catAx>
        <c:axId val="64754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038703"/>
        <c:crosses val="autoZero"/>
        <c:auto val="1"/>
        <c:lblAlgn val="ctr"/>
        <c:lblOffset val="100"/>
        <c:noMultiLvlLbl val="0"/>
      </c:catAx>
      <c:valAx>
        <c:axId val="21250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'Social Support (Growth)'!$O$4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E8-43FD-9BB3-C1AFC7B2DCD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E8-43FD-9BB3-C1AFC7B2DCD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E8-43FD-9BB3-C1AFC7B2DCD2}"/>
              </c:ext>
            </c:extLst>
          </c:dPt>
          <c:cat>
            <c:strRef>
              <c:f>'Social Support (Growth)'!$P$3:$S$3</c:f>
              <c:strCache>
                <c:ptCount val="4"/>
                <c:pt idx="0">
                  <c:v>Armenia</c:v>
                </c:pt>
                <c:pt idx="1">
                  <c:v>Azerbaijan</c:v>
                </c:pt>
                <c:pt idx="2">
                  <c:v>Georgia</c:v>
                </c:pt>
                <c:pt idx="3">
                  <c:v>Russia</c:v>
                </c:pt>
              </c:strCache>
            </c:strRef>
          </c:cat>
          <c:val>
            <c:numRef>
              <c:f>'Social Support (Growth)'!$P$4:$S$4</c:f>
              <c:numCache>
                <c:formatCode>0.000</c:formatCode>
                <c:ptCount val="4"/>
                <c:pt idx="0">
                  <c:v>1.2741910483738599</c:v>
                </c:pt>
                <c:pt idx="1">
                  <c:v>0.51132517845496472</c:v>
                </c:pt>
                <c:pt idx="2">
                  <c:v>0.66427201444410366</c:v>
                </c:pt>
                <c:pt idx="3">
                  <c:v>0.15677521721023707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E8-43FD-9BB3-C1AFC7B2D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907039"/>
        <c:axId val="2124635343"/>
      </c:barChart>
      <c:catAx>
        <c:axId val="208990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635343"/>
        <c:crosses val="autoZero"/>
        <c:auto val="1"/>
        <c:lblAlgn val="ctr"/>
        <c:lblOffset val="100"/>
        <c:noMultiLvlLbl val="0"/>
      </c:catAx>
      <c:valAx>
        <c:axId val="212463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0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'Healthy life expectancy'!$D$4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'Healthy life expectancy'!$C$6:$C$19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'Healthy life expectancy'!$D$6:$D$19</c:f>
              <c:numCache>
                <c:formatCode>0.000</c:formatCode>
                <c:ptCount val="14"/>
                <c:pt idx="0">
                  <c:v>63.840000152587891</c:v>
                </c:pt>
                <c:pt idx="1">
                  <c:v>64.080001831054688</c:v>
                </c:pt>
                <c:pt idx="2">
                  <c:v>64.319999694824219</c:v>
                </c:pt>
                <c:pt idx="3">
                  <c:v>64.55999755859375</c:v>
                </c:pt>
                <c:pt idx="4">
                  <c:v>64.800003051757813</c:v>
                </c:pt>
                <c:pt idx="5">
                  <c:v>65.040000915527344</c:v>
                </c:pt>
                <c:pt idx="6">
                  <c:v>65.279998779296875</c:v>
                </c:pt>
                <c:pt idx="7">
                  <c:v>65.519996643066406</c:v>
                </c:pt>
                <c:pt idx="8">
                  <c:v>65.760002136230469</c:v>
                </c:pt>
                <c:pt idx="9">
                  <c:v>66</c:v>
                </c:pt>
                <c:pt idx="10">
                  <c:v>66.275001525878906</c:v>
                </c:pt>
                <c:pt idx="11">
                  <c:v>66.550003051757813</c:v>
                </c:pt>
                <c:pt idx="12">
                  <c:v>66.824996948242188</c:v>
                </c:pt>
                <c:pt idx="13">
                  <c:v>67.099998474121094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2-4DC5-83AD-6DE86540ACEA}"/>
            </c:ext>
          </c:extLst>
        </c:ser>
        <c:ser>
          <c:idx val="1"/>
          <c:order val="1"/>
          <c:tx>
            <c:strRef>
              <c:f>'Healthy life expectancy'!$E$4</c:f>
              <c:strCache>
                <c:ptCount val="1"/>
                <c:pt idx="0">
                  <c:v>Azerbaijan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'Healthy life expectancy'!$C$6:$C$19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'Healthy life expectancy'!$E$6:$E$19</c:f>
              <c:numCache>
                <c:formatCode>0.000</c:formatCode>
                <c:ptCount val="14"/>
                <c:pt idx="0">
                  <c:v>60.580001831054688</c:v>
                </c:pt>
                <c:pt idx="1">
                  <c:v>60.860000610351563</c:v>
                </c:pt>
                <c:pt idx="2">
                  <c:v>61.139999389648438</c:v>
                </c:pt>
                <c:pt idx="3">
                  <c:v>61.419998168945313</c:v>
                </c:pt>
                <c:pt idx="4">
                  <c:v>61.700000762939453</c:v>
                </c:pt>
                <c:pt idx="5">
                  <c:v>61.979999542236328</c:v>
                </c:pt>
                <c:pt idx="6">
                  <c:v>62.259998321533203</c:v>
                </c:pt>
                <c:pt idx="7">
                  <c:v>62.540000915527344</c:v>
                </c:pt>
                <c:pt idx="8">
                  <c:v>62.819999694824219</c:v>
                </c:pt>
                <c:pt idx="9">
                  <c:v>63.099998474121094</c:v>
                </c:pt>
                <c:pt idx="10">
                  <c:v>63.224998474121094</c:v>
                </c:pt>
                <c:pt idx="11">
                  <c:v>63.349998474121094</c:v>
                </c:pt>
                <c:pt idx="12">
                  <c:v>63.474998474121094</c:v>
                </c:pt>
                <c:pt idx="13">
                  <c:v>63.599998474121094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32-4DC5-83AD-6DE86540ACEA}"/>
            </c:ext>
          </c:extLst>
        </c:ser>
        <c:ser>
          <c:idx val="2"/>
          <c:order val="2"/>
          <c:tx>
            <c:strRef>
              <c:f>'Healthy life expectancy'!$F$4</c:f>
              <c:strCache>
                <c:ptCount val="1"/>
                <c:pt idx="0">
                  <c:v>Georgia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'Healthy life expectancy'!$C$6:$C$19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'Healthy life expectancy'!$F$6:$F$19</c:f>
              <c:numCache>
                <c:formatCode>0.000</c:formatCode>
                <c:ptCount val="14"/>
                <c:pt idx="0">
                  <c:v>63.299999237060547</c:v>
                </c:pt>
                <c:pt idx="1">
                  <c:v>63.400001525878906</c:v>
                </c:pt>
                <c:pt idx="2">
                  <c:v>63.5</c:v>
                </c:pt>
                <c:pt idx="3">
                  <c:v>63.599998474121094</c:v>
                </c:pt>
                <c:pt idx="4">
                  <c:v>63.700000762939453</c:v>
                </c:pt>
                <c:pt idx="5">
                  <c:v>63.799999237060547</c:v>
                </c:pt>
                <c:pt idx="6">
                  <c:v>63.900001525878906</c:v>
                </c:pt>
                <c:pt idx="7">
                  <c:v>64</c:v>
                </c:pt>
                <c:pt idx="8">
                  <c:v>64.099998474121094</c:v>
                </c:pt>
                <c:pt idx="9">
                  <c:v>64.199996948242188</c:v>
                </c:pt>
                <c:pt idx="10">
                  <c:v>64.324996948242188</c:v>
                </c:pt>
                <c:pt idx="11">
                  <c:v>64.449996948242188</c:v>
                </c:pt>
                <c:pt idx="12">
                  <c:v>64.574996948242188</c:v>
                </c:pt>
                <c:pt idx="13">
                  <c:v>64.699996948242188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32-4DC5-83AD-6DE86540ACEA}"/>
            </c:ext>
          </c:extLst>
        </c:ser>
        <c:ser>
          <c:idx val="3"/>
          <c:order val="3"/>
          <c:tx>
            <c:strRef>
              <c:f>'Healthy life expectancy'!$G$4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'Healthy life expectancy'!$C$6:$C$19</c:f>
              <c:numCache>
                <c:formatCode>0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'Healthy life expectancy'!$G$6:$G$19</c:f>
              <c:numCache>
                <c:formatCode>0.000</c:formatCode>
                <c:ptCount val="14"/>
                <c:pt idx="0">
                  <c:v>58.740001678466797</c:v>
                </c:pt>
                <c:pt idx="1">
                  <c:v>59.180000305175781</c:v>
                </c:pt>
                <c:pt idx="2">
                  <c:v>59.619998931884766</c:v>
                </c:pt>
                <c:pt idx="3">
                  <c:v>60.060001373291016</c:v>
                </c:pt>
                <c:pt idx="4">
                  <c:v>60.5</c:v>
                </c:pt>
                <c:pt idx="5">
                  <c:v>60.939998626708984</c:v>
                </c:pt>
                <c:pt idx="6">
                  <c:v>61.380001068115234</c:v>
                </c:pt>
                <c:pt idx="7">
                  <c:v>61.819999694824219</c:v>
                </c:pt>
                <c:pt idx="8">
                  <c:v>62.259998321533203</c:v>
                </c:pt>
                <c:pt idx="9">
                  <c:v>62.700000762939453</c:v>
                </c:pt>
                <c:pt idx="10">
                  <c:v>63.075000762939453</c:v>
                </c:pt>
                <c:pt idx="11">
                  <c:v>63.450000762939453</c:v>
                </c:pt>
                <c:pt idx="12">
                  <c:v>63.825000762939453</c:v>
                </c:pt>
                <c:pt idx="13">
                  <c:v>64.199996948242188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32-4DC5-83AD-6DE86540A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799280"/>
        <c:axId val="2064805424"/>
      </c:lineChart>
      <c:catAx>
        <c:axId val="206479928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805424"/>
        <c:crosses val="autoZero"/>
        <c:auto val="1"/>
        <c:lblAlgn val="ctr"/>
        <c:lblOffset val="100"/>
        <c:noMultiLvlLbl val="0"/>
      </c:catAx>
      <c:valAx>
        <c:axId val="20648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79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'Healthy life expectancy'!$K$5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'Healthy life expectancy'!$J$6:$J$18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'Healthy life expectancy'!$K$6:$K$18</c:f>
              <c:numCache>
                <c:formatCode>General</c:formatCode>
                <c:ptCount val="13"/>
                <c:pt idx="0">
                  <c:v>0.37594247790281043</c:v>
                </c:pt>
                <c:pt idx="1">
                  <c:v>0.37452849081103273</c:v>
                </c:pt>
                <c:pt idx="2">
                  <c:v>0.37313100887474615</c:v>
                </c:pt>
                <c:pt idx="3">
                  <c:v>0.37175573457269245</c:v>
                </c:pt>
                <c:pt idx="4">
                  <c:v>0.37036705627596556</c:v>
                </c:pt>
                <c:pt idx="5">
                  <c:v>0.36900040035552228</c:v>
                </c:pt>
                <c:pt idx="6">
                  <c:v>0.36764379328641317</c:v>
                </c:pt>
                <c:pt idx="7">
                  <c:v>0.36630876901832204</c:v>
                </c:pt>
                <c:pt idx="8">
                  <c:v>0.3649602432681559</c:v>
                </c:pt>
                <c:pt idx="9">
                  <c:v>0.41666897860440338</c:v>
                </c:pt>
                <c:pt idx="10">
                  <c:v>0.41494005212738366</c:v>
                </c:pt>
                <c:pt idx="11">
                  <c:v>0.41321395022402102</c:v>
                </c:pt>
                <c:pt idx="12">
                  <c:v>0.41152493593363354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57-48D3-9527-07ECC0BAC0EC}"/>
            </c:ext>
          </c:extLst>
        </c:ser>
        <c:ser>
          <c:idx val="1"/>
          <c:order val="1"/>
          <c:tx>
            <c:strRef>
              <c:f>'Healthy life expectancy'!$L$5</c:f>
              <c:strCache>
                <c:ptCount val="1"/>
                <c:pt idx="0">
                  <c:v>Azerbaijan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'Healthy life expectancy'!$J$6:$J$18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'Healthy life expectancy'!$L$6:$L$18</c:f>
              <c:numCache>
                <c:formatCode>General</c:formatCode>
                <c:ptCount val="13"/>
                <c:pt idx="0">
                  <c:v>0.46219671646385002</c:v>
                </c:pt>
                <c:pt idx="1">
                  <c:v>0.46007028670527245</c:v>
                </c:pt>
                <c:pt idx="2">
                  <c:v>0.45796333348390805</c:v>
                </c:pt>
                <c:pt idx="3">
                  <c:v>0.45588180127252637</c:v>
                </c:pt>
                <c:pt idx="4">
                  <c:v>0.45380676796532277</c:v>
                </c:pt>
                <c:pt idx="5">
                  <c:v>0.45175666564190525</c:v>
                </c:pt>
                <c:pt idx="6">
                  <c:v>0.44973113000759446</c:v>
                </c:pt>
                <c:pt idx="7">
                  <c:v>0.44771150495355572</c:v>
                </c:pt>
                <c:pt idx="8">
                  <c:v>0.44571598321727512</c:v>
                </c:pt>
                <c:pt idx="9">
                  <c:v>0.19809826152573629</c:v>
                </c:pt>
                <c:pt idx="10">
                  <c:v>0.19770660817202598</c:v>
                </c:pt>
                <c:pt idx="11">
                  <c:v>0.19731650041169826</c:v>
                </c:pt>
                <c:pt idx="12">
                  <c:v>0.19692792911363802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57-48D3-9527-07ECC0BAC0EC}"/>
            </c:ext>
          </c:extLst>
        </c:ser>
        <c:ser>
          <c:idx val="2"/>
          <c:order val="2"/>
          <c:tx>
            <c:strRef>
              <c:f>'Healthy life expectancy'!$M$5</c:f>
              <c:strCache>
                <c:ptCount val="1"/>
                <c:pt idx="0">
                  <c:v>Georgia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'Healthy life expectancy'!$J$6:$J$18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'Healthy life expectancy'!$M$6:$M$18</c:f>
              <c:numCache>
                <c:formatCode>General</c:formatCode>
                <c:ptCount val="13"/>
                <c:pt idx="0">
                  <c:v>0.15798150082727105</c:v>
                </c:pt>
                <c:pt idx="1">
                  <c:v>0.15772629607946606</c:v>
                </c:pt>
                <c:pt idx="2">
                  <c:v>0.15747791200172243</c:v>
                </c:pt>
                <c:pt idx="3">
                  <c:v>0.15723630694590413</c:v>
                </c:pt>
                <c:pt idx="4">
                  <c:v>0.15698347397708773</c:v>
                </c:pt>
                <c:pt idx="5">
                  <c:v>0.15674340127620159</c:v>
                </c:pt>
                <c:pt idx="6">
                  <c:v>0.15649213103789253</c:v>
                </c:pt>
                <c:pt idx="7">
                  <c:v>0.15624761581420898</c:v>
                </c:pt>
                <c:pt idx="8">
                  <c:v>0.156003863496917</c:v>
                </c:pt>
                <c:pt idx="9">
                  <c:v>0.19470405909952701</c:v>
                </c:pt>
                <c:pt idx="10">
                  <c:v>0.19432569907555336</c:v>
                </c:pt>
                <c:pt idx="11">
                  <c:v>0.1939488067010828</c:v>
                </c:pt>
                <c:pt idx="12">
                  <c:v>0.19357337345317932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57-48D3-9527-07ECC0BAC0EC}"/>
            </c:ext>
          </c:extLst>
        </c:ser>
        <c:ser>
          <c:idx val="3"/>
          <c:order val="3"/>
          <c:tx>
            <c:strRef>
              <c:f>'Healthy life expectancy'!$N$5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'Healthy life expectancy'!$J$6:$J$18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'Healthy life expectancy'!$N$6:$N$18</c:f>
              <c:numCache>
                <c:formatCode>General</c:formatCode>
                <c:ptCount val="13"/>
                <c:pt idx="0">
                  <c:v>0.74906131109335883</c:v>
                </c:pt>
                <c:pt idx="1">
                  <c:v>0.74349209942552641</c:v>
                </c:pt>
                <c:pt idx="2">
                  <c:v>0.73801148824062923</c:v>
                </c:pt>
                <c:pt idx="3">
                  <c:v>0.73259842931780883</c:v>
                </c:pt>
                <c:pt idx="4">
                  <c:v>0.72727045737022211</c:v>
                </c:pt>
                <c:pt idx="5">
                  <c:v>0.72202568316666205</c:v>
                </c:pt>
                <c:pt idx="6">
                  <c:v>0.71684362830281589</c:v>
                </c:pt>
                <c:pt idx="7">
                  <c:v>0.71174155432068464</c:v>
                </c:pt>
                <c:pt idx="8">
                  <c:v>0.70671772127894683</c:v>
                </c:pt>
                <c:pt idx="9">
                  <c:v>0.59808611712434623</c:v>
                </c:pt>
                <c:pt idx="10">
                  <c:v>0.59453031385508315</c:v>
                </c:pt>
                <c:pt idx="11">
                  <c:v>0.59101654135681891</c:v>
                </c:pt>
                <c:pt idx="12">
                  <c:v>0.58753808197442159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57-48D3-9527-07ECC0BAC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2344448"/>
        <c:axId val="662346720"/>
      </c:lineChart>
      <c:catAx>
        <c:axId val="6623444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46720"/>
        <c:crosses val="autoZero"/>
        <c:auto val="1"/>
        <c:lblAlgn val="ctr"/>
        <c:lblOffset val="100"/>
        <c:noMultiLvlLbl val="0"/>
      </c:catAx>
      <c:valAx>
        <c:axId val="6623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4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916666666666666E-2"/>
          <c:y val="0.11337962962962965"/>
          <c:w val="0.89663888888888887"/>
          <c:h val="0.72094889180519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'Healthy life expectancy'!$Q$5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'Healthy life expectancy'!$R$4:$U$4</c:f>
              <c:strCache>
                <c:ptCount val="4"/>
                <c:pt idx="0">
                  <c:v>Armenia</c:v>
                </c:pt>
                <c:pt idx="1">
                  <c:v>Azerbaijan</c:v>
                </c:pt>
                <c:pt idx="2">
                  <c:v>Georgia</c:v>
                </c:pt>
                <c:pt idx="3">
                  <c:v>Russia</c:v>
                </c:pt>
              </c:strCache>
            </c:strRef>
          </c:cat>
          <c:val>
            <c:numRef>
              <c:f>'Healthy life expectancy'!$R$5:$U$5</c:f>
              <c:numCache>
                <c:formatCode>General</c:formatCode>
                <c:ptCount val="4"/>
                <c:pt idx="0">
                  <c:v>0.38384506855808481</c:v>
                </c:pt>
                <c:pt idx="1">
                  <c:v>0.37499103761033142</c:v>
                </c:pt>
                <c:pt idx="2">
                  <c:v>0.16841880306046259</c:v>
                </c:pt>
                <c:pt idx="3">
                  <c:v>0.68607180206364038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9-471B-8939-336B06358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770112"/>
        <c:axId val="392772112"/>
      </c:barChart>
      <c:catAx>
        <c:axId val="39277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72112"/>
        <c:crosses val="autoZero"/>
        <c:auto val="1"/>
        <c:lblAlgn val="ctr"/>
        <c:lblOffset val="100"/>
        <c:noMultiLvlLbl val="0"/>
      </c:catAx>
      <c:valAx>
        <c:axId val="39277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7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Generosity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Generosity!$B$3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Generosity!$A$4:$A$18</c:f>
              <c:strCache>
                <c:ptCount val="15"/>
                <c:pt idx="0">
                  <c:v>year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strCache>
            </c:strRef>
          </c:cat>
          <c:val>
            <c:numRef>
              <c:f>Generosity!$B$4:$B$18</c:f>
              <c:numCache>
                <c:formatCode>0.000</c:formatCode>
                <c:ptCount val="15"/>
                <c:pt idx="1">
                  <c:v>-0.23490116000175476</c:v>
                </c:pt>
                <c:pt idx="2">
                  <c:v>-0.25497710704803467</c:v>
                </c:pt>
                <c:pt idx="3">
                  <c:v>-0.21904514729976654</c:v>
                </c:pt>
                <c:pt idx="4">
                  <c:v>-0.21777066588401794</c:v>
                </c:pt>
                <c:pt idx="5">
                  <c:v>-0.17998570203781128</c:v>
                </c:pt>
                <c:pt idx="6">
                  <c:v>-0.22973772883415222</c:v>
                </c:pt>
                <c:pt idx="7">
                  <c:v>-0.22002717852592468</c:v>
                </c:pt>
                <c:pt idx="8">
                  <c:v>-0.20098087191581726</c:v>
                </c:pt>
                <c:pt idx="9">
                  <c:v>-0.22462782263755798</c:v>
                </c:pt>
                <c:pt idx="10">
                  <c:v>-0.20938660204410553</c:v>
                </c:pt>
                <c:pt idx="11">
                  <c:v>-0.17776034772396088</c:v>
                </c:pt>
                <c:pt idx="12">
                  <c:v>-0.15476050972938538</c:v>
                </c:pt>
                <c:pt idx="13">
                  <c:v>-0.17107826471328735</c:v>
                </c:pt>
                <c:pt idx="14">
                  <c:v>-0.18142963945865631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1-459A-8254-0DB16AF6B2BE}"/>
            </c:ext>
          </c:extLst>
        </c:ser>
        <c:ser>
          <c:idx val="1"/>
          <c:order val="1"/>
          <c:tx>
            <c:strRef>
              <c:f>Generosity!$C$3</c:f>
              <c:strCache>
                <c:ptCount val="1"/>
                <c:pt idx="0">
                  <c:v>Azerbaijan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Generosity!$A$4:$A$18</c:f>
              <c:strCache>
                <c:ptCount val="15"/>
                <c:pt idx="0">
                  <c:v>year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strCache>
            </c:strRef>
          </c:cat>
          <c:val>
            <c:numRef>
              <c:f>Generosity!$C$4:$C$18</c:f>
              <c:numCache>
                <c:formatCode>0.000</c:formatCode>
                <c:ptCount val="15"/>
                <c:pt idx="1">
                  <c:v>-0.2392495721578598</c:v>
                </c:pt>
                <c:pt idx="2">
                  <c:v>-0.21111249923706055</c:v>
                </c:pt>
                <c:pt idx="3">
                  <c:v>-3.381616622209549E-2</c:v>
                </c:pt>
                <c:pt idx="4">
                  <c:v>-9.1217078268527985E-2</c:v>
                </c:pt>
                <c:pt idx="5">
                  <c:v>-0.1277264803647995</c:v>
                </c:pt>
                <c:pt idx="6">
                  <c:v>-0.11023659259080887</c:v>
                </c:pt>
                <c:pt idx="7">
                  <c:v>-0.14562302827835083</c:v>
                </c:pt>
                <c:pt idx="8">
                  <c:v>-0.1734439879655838</c:v>
                </c:pt>
                <c:pt idx="9">
                  <c:v>-0.21381649374961853</c:v>
                </c:pt>
                <c:pt idx="10">
                  <c:v>-0.20340487360954285</c:v>
                </c:pt>
                <c:pt idx="11">
                  <c:v>-0.20979988574981689</c:v>
                </c:pt>
                <c:pt idx="12">
                  <c:v>-0.23079732060432434</c:v>
                </c:pt>
                <c:pt idx="13">
                  <c:v>-0.23728296160697937</c:v>
                </c:pt>
                <c:pt idx="14">
                  <c:v>-0.22002698481082916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1-459A-8254-0DB16AF6B2BE}"/>
            </c:ext>
          </c:extLst>
        </c:ser>
        <c:ser>
          <c:idx val="2"/>
          <c:order val="2"/>
          <c:tx>
            <c:strRef>
              <c:f>Generosity!$D$3</c:f>
              <c:strCache>
                <c:ptCount val="1"/>
                <c:pt idx="0">
                  <c:v>Georgia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Generosity!$A$4:$A$18</c:f>
              <c:strCache>
                <c:ptCount val="15"/>
                <c:pt idx="0">
                  <c:v>year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strCache>
            </c:strRef>
          </c:cat>
          <c:val>
            <c:numRef>
              <c:f>Generosity!$D$4:$D$18</c:f>
              <c:numCache>
                <c:formatCode>0.000</c:formatCode>
                <c:ptCount val="15"/>
                <c:pt idx="1">
                  <c:v>-0.27255910634994507</c:v>
                </c:pt>
                <c:pt idx="2">
                  <c:v>-0.27222028374671936</c:v>
                </c:pt>
                <c:pt idx="3">
                  <c:v>-0.22981572151184082</c:v>
                </c:pt>
                <c:pt idx="4">
                  <c:v>-0.23808903992176056</c:v>
                </c:pt>
                <c:pt idx="5">
                  <c:v>-0.25316470861434937</c:v>
                </c:pt>
                <c:pt idx="6">
                  <c:v>-0.26043832302093506</c:v>
                </c:pt>
                <c:pt idx="7">
                  <c:v>-0.27456489205360413</c:v>
                </c:pt>
                <c:pt idx="8">
                  <c:v>-0.2596762478351593</c:v>
                </c:pt>
                <c:pt idx="9">
                  <c:v>-0.23858177661895752</c:v>
                </c:pt>
                <c:pt idx="10">
                  <c:v>-0.21042811870574951</c:v>
                </c:pt>
                <c:pt idx="11">
                  <c:v>-0.25481438636779785</c:v>
                </c:pt>
                <c:pt idx="12">
                  <c:v>-0.2495434433221817</c:v>
                </c:pt>
                <c:pt idx="13">
                  <c:v>-0.23838350176811218</c:v>
                </c:pt>
                <c:pt idx="14">
                  <c:v>-0.26528984308242798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B1-459A-8254-0DB16AF6B2BE}"/>
            </c:ext>
          </c:extLst>
        </c:ser>
        <c:ser>
          <c:idx val="3"/>
          <c:order val="3"/>
          <c:tx>
            <c:strRef>
              <c:f>Generosity!$E$3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Generosity!$A$4:$A$18</c:f>
              <c:strCache>
                <c:ptCount val="15"/>
                <c:pt idx="0">
                  <c:v>year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strCache>
            </c:strRef>
          </c:cat>
          <c:val>
            <c:numRef>
              <c:f>Generosity!$E$4:$E$18</c:f>
              <c:numCache>
                <c:formatCode>0.000</c:formatCode>
                <c:ptCount val="15"/>
                <c:pt idx="1">
                  <c:v>-0.31214404106140137</c:v>
                </c:pt>
                <c:pt idx="2">
                  <c:v>-0.28935009241104126</c:v>
                </c:pt>
                <c:pt idx="3">
                  <c:v>-0.31063604354858398</c:v>
                </c:pt>
                <c:pt idx="4">
                  <c:v>-0.28898179531097412</c:v>
                </c:pt>
                <c:pt idx="5">
                  <c:v>-0.30197861790657043</c:v>
                </c:pt>
                <c:pt idx="6">
                  <c:v>-0.28445571660995483</c:v>
                </c:pt>
                <c:pt idx="7">
                  <c:v>-0.29825288057327271</c:v>
                </c:pt>
                <c:pt idx="8">
                  <c:v>-0.29497125744819641</c:v>
                </c:pt>
                <c:pt idx="9">
                  <c:v>-0.27019765973091125</c:v>
                </c:pt>
                <c:pt idx="10">
                  <c:v>-0.17669197916984558</c:v>
                </c:pt>
                <c:pt idx="11">
                  <c:v>-0.18687869608402252</c:v>
                </c:pt>
                <c:pt idx="12">
                  <c:v>-0.15059798955917358</c:v>
                </c:pt>
                <c:pt idx="13">
                  <c:v>-0.15297549962997437</c:v>
                </c:pt>
                <c:pt idx="14">
                  <c:v>-0.1219959631562233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B1-459A-8254-0DB16AF6B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211696"/>
        <c:axId val="390204808"/>
      </c:lineChart>
      <c:catAx>
        <c:axId val="39021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04808"/>
        <c:crosses val="autoZero"/>
        <c:auto val="1"/>
        <c:lblAlgn val="ctr"/>
        <c:lblOffset val="100"/>
        <c:noMultiLvlLbl val="0"/>
      </c:catAx>
      <c:valAx>
        <c:axId val="39020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1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Generosity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Generosity!$B$23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Generosity!$A$24:$A$36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Generosity!$B$24:$B$36</c:f>
              <c:numCache>
                <c:formatCode>General</c:formatCode>
                <c:ptCount val="13"/>
                <c:pt idx="0">
                  <c:v>8.5465508327544804</c:v>
                </c:pt>
                <c:pt idx="1">
                  <c:v>-14.092229755159538</c:v>
                </c:pt>
                <c:pt idx="2">
                  <c:v>-0.581835037872101</c:v>
                </c:pt>
                <c:pt idx="3">
                  <c:v>-17.350805120066301</c:v>
                </c:pt>
                <c:pt idx="4">
                  <c:v>27.642210593977662</c:v>
                </c:pt>
                <c:pt idx="5">
                  <c:v>-4.2267982527317445</c:v>
                </c:pt>
                <c:pt idx="6">
                  <c:v>-8.6563427017100487</c:v>
                </c:pt>
                <c:pt idx="7">
                  <c:v>11.765771785309735</c:v>
                </c:pt>
                <c:pt idx="8">
                  <c:v>-6.7850991985282718</c:v>
                </c:pt>
                <c:pt idx="9">
                  <c:v>-15.104239722789353</c:v>
                </c:pt>
                <c:pt idx="10">
                  <c:v>-12.938677432321022</c:v>
                </c:pt>
                <c:pt idx="11">
                  <c:v>10.543875186528686</c:v>
                </c:pt>
                <c:pt idx="12">
                  <c:v>6.0506662039838801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1-463C-87B8-1CB94F3DBF40}"/>
            </c:ext>
          </c:extLst>
        </c:ser>
        <c:ser>
          <c:idx val="1"/>
          <c:order val="1"/>
          <c:tx>
            <c:strRef>
              <c:f>Generosity!$C$23</c:f>
              <c:strCache>
                <c:ptCount val="1"/>
                <c:pt idx="0">
                  <c:v>Azerbaijan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Generosity!$A$24:$A$36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Generosity!$C$24:$C$36</c:f>
              <c:numCache>
                <c:formatCode>General</c:formatCode>
                <c:ptCount val="13"/>
                <c:pt idx="0">
                  <c:v>-11.760553077283694</c:v>
                </c:pt>
                <c:pt idx="1">
                  <c:v>-83.98192132426847</c:v>
                </c:pt>
                <c:pt idx="2">
                  <c:v>169.74399661226744</c:v>
                </c:pt>
                <c:pt idx="3">
                  <c:v>40.024744038384867</c:v>
                </c:pt>
                <c:pt idx="4">
                  <c:v>-13.69323551705001</c:v>
                </c:pt>
                <c:pt idx="5">
                  <c:v>32.10044401398919</c:v>
                </c:pt>
                <c:pt idx="6">
                  <c:v>19.104780347002986</c:v>
                </c:pt>
                <c:pt idx="7">
                  <c:v>23.276970425775598</c:v>
                </c:pt>
                <c:pt idx="8">
                  <c:v>-4.8694186110206283</c:v>
                </c:pt>
                <c:pt idx="9">
                  <c:v>3.1439817673936119</c:v>
                </c:pt>
                <c:pt idx="10">
                  <c:v>10.008315676371035</c:v>
                </c:pt>
                <c:pt idx="11">
                  <c:v>2.8101023814630501</c:v>
                </c:pt>
                <c:pt idx="12">
                  <c:v>-7.2723202202490729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91-463C-87B8-1CB94F3DBF40}"/>
            </c:ext>
          </c:extLst>
        </c:ser>
        <c:ser>
          <c:idx val="2"/>
          <c:order val="2"/>
          <c:tx>
            <c:strRef>
              <c:f>Generosity!$D$23</c:f>
              <c:strCache>
                <c:ptCount val="1"/>
                <c:pt idx="0">
                  <c:v>Georgia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Generosity!$A$24:$A$36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Generosity!$D$24:$D$36</c:f>
              <c:numCache>
                <c:formatCode>General</c:formatCode>
                <c:ptCount val="13"/>
                <c:pt idx="0">
                  <c:v>-0.12431160630189536</c:v>
                </c:pt>
                <c:pt idx="1">
                  <c:v>-15.577297051946656</c:v>
                </c:pt>
                <c:pt idx="2">
                  <c:v>3.5999793031972671</c:v>
                </c:pt>
                <c:pt idx="3">
                  <c:v>6.3319456861781145</c:v>
                </c:pt>
                <c:pt idx="4">
                  <c:v>2.8730759695521897</c:v>
                </c:pt>
                <c:pt idx="5">
                  <c:v>5.4241514339398957</c:v>
                </c:pt>
                <c:pt idx="6">
                  <c:v>-5.4226321898205647</c:v>
                </c:pt>
                <c:pt idx="7">
                  <c:v>-8.1233733897727944</c:v>
                </c:pt>
                <c:pt idx="8">
                  <c:v>-11.800422610722961</c:v>
                </c:pt>
                <c:pt idx="9">
                  <c:v>21.093315824448123</c:v>
                </c:pt>
                <c:pt idx="10">
                  <c:v>-2.0685421732853406</c:v>
                </c:pt>
                <c:pt idx="11">
                  <c:v>-4.4721437700373041</c:v>
                </c:pt>
                <c:pt idx="12">
                  <c:v>11.286998099595404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91-463C-87B8-1CB94F3DBF40}"/>
            </c:ext>
          </c:extLst>
        </c:ser>
        <c:ser>
          <c:idx val="3"/>
          <c:order val="3"/>
          <c:tx>
            <c:strRef>
              <c:f>Generosity!$E$23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Generosity!$A$24:$A$36</c:f>
              <c:numCache>
                <c:formatCode>0</c:formatCod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numCache>
            </c:numRef>
          </c:cat>
          <c:val>
            <c:numRef>
              <c:f>Generosity!$E$24:$E$36</c:f>
              <c:numCache>
                <c:formatCode>General</c:formatCode>
                <c:ptCount val="13"/>
                <c:pt idx="0">
                  <c:v>-7.3023814815918087</c:v>
                </c:pt>
                <c:pt idx="1">
                  <c:v>7.3564694450847457</c:v>
                </c:pt>
                <c:pt idx="2">
                  <c:v>-6.9709387198730228</c:v>
                </c:pt>
                <c:pt idx="3">
                  <c:v>4.4974537519259288</c:v>
                </c:pt>
                <c:pt idx="4">
                  <c:v>-5.8026960379151857</c:v>
                </c:pt>
                <c:pt idx="5">
                  <c:v>4.8503732418345162</c:v>
                </c:pt>
                <c:pt idx="6">
                  <c:v>-1.1002821225963273</c:v>
                </c:pt>
                <c:pt idx="7">
                  <c:v>-8.3986480349313197</c:v>
                </c:pt>
                <c:pt idx="8">
                  <c:v>-34.606399128026347</c:v>
                </c:pt>
                <c:pt idx="9">
                  <c:v>5.7652401439144754</c:v>
                </c:pt>
                <c:pt idx="10">
                  <c:v>-19.414040918038499</c:v>
                </c:pt>
                <c:pt idx="11">
                  <c:v>1.5787130211765543</c:v>
                </c:pt>
                <c:pt idx="12">
                  <c:v>-20.251305959899522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91-463C-87B8-1CB94F3DB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244464"/>
        <c:axId val="398240528"/>
      </c:lineChart>
      <c:catAx>
        <c:axId val="3982444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40528"/>
        <c:crosses val="autoZero"/>
        <c:auto val="1"/>
        <c:lblAlgn val="ctr"/>
        <c:lblOffset val="100"/>
        <c:noMultiLvlLbl val="0"/>
      </c:catAx>
      <c:valAx>
        <c:axId val="39824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4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Mean</a:t>
            </a:r>
            <a:r>
              <a:rPr lang="en-US" b="1" baseline="0"/>
              <a:t> of Generosity Growth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Generosity!$O$24:$O$27</c:f>
              <c:strCache>
                <c:ptCount val="4"/>
                <c:pt idx="0">
                  <c:v>Armenia</c:v>
                </c:pt>
                <c:pt idx="1">
                  <c:v>Azerbaijan</c:v>
                </c:pt>
                <c:pt idx="2">
                  <c:v>Georgia</c:v>
                </c:pt>
                <c:pt idx="3">
                  <c:v>Russia</c:v>
                </c:pt>
              </c:strCache>
            </c:strRef>
          </c:cat>
          <c:val>
            <c:numRef>
              <c:f>Generosity!$P$24:$P$27</c:f>
              <c:numCache>
                <c:formatCode>General</c:formatCode>
                <c:ptCount val="4"/>
                <c:pt idx="0">
                  <c:v>-1.1682271245095335</c:v>
                </c:pt>
                <c:pt idx="1">
                  <c:v>13.741222039444303</c:v>
                </c:pt>
                <c:pt idx="2">
                  <c:v>0.23236488654026757</c:v>
                </c:pt>
                <c:pt idx="3">
                  <c:v>-6.1383417537642933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8-48D5-A25A-635AFDF15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947528"/>
        <c:axId val="402946872"/>
      </c:barChart>
      <c:catAx>
        <c:axId val="40294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946872"/>
        <c:crosses val="autoZero"/>
        <c:auto val="1"/>
        <c:lblAlgn val="ctr"/>
        <c:lblOffset val="100"/>
        <c:noMultiLvlLbl val="0"/>
      </c:catAx>
      <c:valAx>
        <c:axId val="402946872"/>
        <c:scaling>
          <c:orientation val="minMax"/>
          <c:max val="14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947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collaration</a:t>
            </a:r>
            <a:r>
              <a:rPr lang="en-US" baseline="0"/>
              <a:t> between life ladder and freedom to make life coices armenia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'freedom to make life choices'!$C$26</c:f>
              <c:strCache>
                <c:ptCount val="1"/>
                <c:pt idx="0">
                  <c:v>LIFE LADDER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'freedom to make life choices'!$B$27:$B$40</c:f>
              <c:numCache>
                <c:formatCode>0.000</c:formatCode>
                <c:ptCount val="14"/>
                <c:pt idx="0">
                  <c:v>0.52019780874252319</c:v>
                </c:pt>
                <c:pt idx="1">
                  <c:v>0.60541075468063354</c:v>
                </c:pt>
                <c:pt idx="2">
                  <c:v>0.46215656399726868</c:v>
                </c:pt>
                <c:pt idx="3">
                  <c:v>0.44141274690628052</c:v>
                </c:pt>
                <c:pt idx="4">
                  <c:v>0.45925670862197876</c:v>
                </c:pt>
                <c:pt idx="5">
                  <c:v>0.46452471613883972</c:v>
                </c:pt>
                <c:pt idx="6">
                  <c:v>0.50186377763748169</c:v>
                </c:pt>
                <c:pt idx="7">
                  <c:v>0.5040818452835083</c:v>
                </c:pt>
                <c:pt idx="8">
                  <c:v>0.50648713111877441</c:v>
                </c:pt>
                <c:pt idx="9">
                  <c:v>0.55102664232254028</c:v>
                </c:pt>
                <c:pt idx="10">
                  <c:v>0.61098694801330566</c:v>
                </c:pt>
                <c:pt idx="11">
                  <c:v>0.61369705200195313</c:v>
                </c:pt>
                <c:pt idx="12">
                  <c:v>0.80764365196228027</c:v>
                </c:pt>
                <c:pt idx="13">
                  <c:v>0.84432411193847656</c:v>
                </c:pt>
              </c:numCache>
            </c:numRef>
          </c:xVal>
          <c:yVal>
            <c:numRef>
              <c:f>'freedom to make life choices'!$C$27:$C$40</c:f>
              <c:numCache>
                <c:formatCode>0.00</c:formatCode>
                <c:ptCount val="14"/>
                <c:pt idx="0">
                  <c:v>4.2893109321594238</c:v>
                </c:pt>
                <c:pt idx="1">
                  <c:v>4.8815155029296875</c:v>
                </c:pt>
                <c:pt idx="2">
                  <c:v>4.6519722938537598</c:v>
                </c:pt>
                <c:pt idx="3">
                  <c:v>4.177581787109375</c:v>
                </c:pt>
                <c:pt idx="4">
                  <c:v>4.3678112030029297</c:v>
                </c:pt>
                <c:pt idx="5">
                  <c:v>4.2604913711547852</c:v>
                </c:pt>
                <c:pt idx="6">
                  <c:v>4.3197116851806641</c:v>
                </c:pt>
                <c:pt idx="7">
                  <c:v>4.277191162109375</c:v>
                </c:pt>
                <c:pt idx="8">
                  <c:v>4.4530830383300781</c:v>
                </c:pt>
                <c:pt idx="9">
                  <c:v>4.3483195304870605</c:v>
                </c:pt>
                <c:pt idx="10">
                  <c:v>4.3254718780517578</c:v>
                </c:pt>
                <c:pt idx="11">
                  <c:v>4.2877364158630371</c:v>
                </c:pt>
                <c:pt idx="12">
                  <c:v>5.0624485015869141</c:v>
                </c:pt>
                <c:pt idx="13">
                  <c:v>5.4880867004394531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5E-4835-A734-620FAA470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913600"/>
        <c:axId val="611910360"/>
      </c:scatterChart>
      <c:valAx>
        <c:axId val="61191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10360"/>
        <c:crosses val="autoZero"/>
        <c:crossBetween val="midCat"/>
      </c:valAx>
      <c:valAx>
        <c:axId val="61191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1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collaration</a:t>
            </a:r>
            <a:r>
              <a:rPr lang="en-US" baseline="0"/>
              <a:t> between life ladder and frdmlch azerbaijan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'freedom to make life choices'!$C$43</c:f>
              <c:strCache>
                <c:ptCount val="1"/>
                <c:pt idx="0">
                  <c:v>LIFE LADDER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'freedom to make life choices'!$B$44:$B$57</c:f>
              <c:numCache>
                <c:formatCode>0.00</c:formatCode>
                <c:ptCount val="14"/>
                <c:pt idx="0">
                  <c:v>3.6751084327697754</c:v>
                </c:pt>
                <c:pt idx="1">
                  <c:v>3.7071945667266846</c:v>
                </c:pt>
                <c:pt idx="2">
                  <c:v>4.156090259552002</c:v>
                </c:pt>
                <c:pt idx="3">
                  <c:v>3.8006391525268555</c:v>
                </c:pt>
                <c:pt idx="4">
                  <c:v>4.101837158203125</c:v>
                </c:pt>
                <c:pt idx="5">
                  <c:v>4.2030305862426758</c:v>
                </c:pt>
                <c:pt idx="6">
                  <c:v>4.2544455528259277</c:v>
                </c:pt>
                <c:pt idx="7">
                  <c:v>4.3489208221435547</c:v>
                </c:pt>
                <c:pt idx="8">
                  <c:v>4.2875080108642578</c:v>
                </c:pt>
                <c:pt idx="9">
                  <c:v>4.1219406127929688</c:v>
                </c:pt>
                <c:pt idx="10">
                  <c:v>4.4483861923217773</c:v>
                </c:pt>
                <c:pt idx="11">
                  <c:v>4.4507746696472168</c:v>
                </c:pt>
                <c:pt idx="12">
                  <c:v>4.6590971946716309</c:v>
                </c:pt>
                <c:pt idx="13">
                  <c:v>4.8918356895446777</c:v>
                </c:pt>
              </c:numCache>
            </c:numRef>
          </c:xVal>
          <c:yVal>
            <c:numRef>
              <c:f>'freedom to make life choices'!$C$44:$C$57</c:f>
              <c:numCache>
                <c:formatCode>0.000</c:formatCode>
                <c:ptCount val="14"/>
                <c:pt idx="0">
                  <c:v>0.77152818441390991</c:v>
                </c:pt>
                <c:pt idx="1">
                  <c:v>0.52204632759094238</c:v>
                </c:pt>
                <c:pt idx="2">
                  <c:v>0.60104328393936157</c:v>
                </c:pt>
                <c:pt idx="3">
                  <c:v>0.49813839793205261</c:v>
                </c:pt>
                <c:pt idx="4">
                  <c:v>0.50107109546661377</c:v>
                </c:pt>
                <c:pt idx="5">
                  <c:v>0.53748428821563721</c:v>
                </c:pt>
                <c:pt idx="6">
                  <c:v>0.59885907173156738</c:v>
                </c:pt>
                <c:pt idx="7">
                  <c:v>0.67195695638656616</c:v>
                </c:pt>
                <c:pt idx="8">
                  <c:v>0.73277294635772705</c:v>
                </c:pt>
                <c:pt idx="9">
                  <c:v>0.7642894983291626</c:v>
                </c:pt>
                <c:pt idx="10">
                  <c:v>0.71257317066192627</c:v>
                </c:pt>
                <c:pt idx="11">
                  <c:v>0.73103046417236328</c:v>
                </c:pt>
                <c:pt idx="12">
                  <c:v>0.77244925498962402</c:v>
                </c:pt>
                <c:pt idx="13">
                  <c:v>0.8542485237121582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9F-45EA-9122-0710FDF38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918280"/>
        <c:axId val="611917200"/>
      </c:scatterChart>
      <c:valAx>
        <c:axId val="61191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17200"/>
        <c:crosses val="autoZero"/>
        <c:crossBetween val="midCat"/>
      </c:valAx>
      <c:valAx>
        <c:axId val="6119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18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collaration</a:t>
            </a:r>
            <a:r>
              <a:rPr lang="en-US" baseline="0"/>
              <a:t> betwenn life ladder and frdmlch georgia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'freedom to make life choices'!$C$60</c:f>
              <c:strCache>
                <c:ptCount val="1"/>
                <c:pt idx="0">
                  <c:v>LIFE LADDER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'freedom to make life choices'!$B$61:$B$74</c:f>
              <c:numCache>
                <c:formatCode>0.00</c:formatCode>
                <c:ptCount val="14"/>
                <c:pt idx="0">
                  <c:v>3.6751084327697754</c:v>
                </c:pt>
                <c:pt idx="1">
                  <c:v>3.7071945667266846</c:v>
                </c:pt>
                <c:pt idx="2">
                  <c:v>4.156090259552002</c:v>
                </c:pt>
                <c:pt idx="3">
                  <c:v>3.8006391525268555</c:v>
                </c:pt>
                <c:pt idx="4">
                  <c:v>4.101837158203125</c:v>
                </c:pt>
                <c:pt idx="5">
                  <c:v>4.2030305862426758</c:v>
                </c:pt>
                <c:pt idx="6">
                  <c:v>4.2544455528259277</c:v>
                </c:pt>
                <c:pt idx="7">
                  <c:v>4.3489208221435547</c:v>
                </c:pt>
                <c:pt idx="8">
                  <c:v>4.2875080108642578</c:v>
                </c:pt>
                <c:pt idx="9">
                  <c:v>4.1219406127929688</c:v>
                </c:pt>
                <c:pt idx="10">
                  <c:v>4.4483861923217773</c:v>
                </c:pt>
                <c:pt idx="11">
                  <c:v>4.4507746696472168</c:v>
                </c:pt>
                <c:pt idx="12">
                  <c:v>4.6590971946716309</c:v>
                </c:pt>
                <c:pt idx="13">
                  <c:v>4.8918356895446777</c:v>
                </c:pt>
              </c:numCache>
            </c:numRef>
          </c:xVal>
          <c:yVal>
            <c:numRef>
              <c:f>'freedom to make life choices'!$C$61:$C$74</c:f>
              <c:numCache>
                <c:formatCode>0.000</c:formatCode>
                <c:ptCount val="14"/>
                <c:pt idx="0">
                  <c:v>0.77152818441390991</c:v>
                </c:pt>
                <c:pt idx="1">
                  <c:v>0.52204632759094238</c:v>
                </c:pt>
                <c:pt idx="2">
                  <c:v>0.60104328393936157</c:v>
                </c:pt>
                <c:pt idx="3">
                  <c:v>0.49813839793205261</c:v>
                </c:pt>
                <c:pt idx="4">
                  <c:v>0.50107109546661377</c:v>
                </c:pt>
                <c:pt idx="5">
                  <c:v>0.53748428821563721</c:v>
                </c:pt>
                <c:pt idx="6">
                  <c:v>0.59885907173156738</c:v>
                </c:pt>
                <c:pt idx="7">
                  <c:v>0.67195695638656616</c:v>
                </c:pt>
                <c:pt idx="8">
                  <c:v>0.73277294635772705</c:v>
                </c:pt>
                <c:pt idx="9">
                  <c:v>0.7642894983291626</c:v>
                </c:pt>
                <c:pt idx="10">
                  <c:v>0.71257317066192627</c:v>
                </c:pt>
                <c:pt idx="11">
                  <c:v>0.73103046417236328</c:v>
                </c:pt>
                <c:pt idx="12">
                  <c:v>0.77244925498962402</c:v>
                </c:pt>
                <c:pt idx="13">
                  <c:v>0.8542485237121582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F6-4A71-AB69-F2A90C1F5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916120"/>
        <c:axId val="611918280"/>
      </c:scatterChart>
      <c:valAx>
        <c:axId val="611916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18280"/>
        <c:crosses val="autoZero"/>
        <c:crossBetween val="midCat"/>
      </c:valAx>
      <c:valAx>
        <c:axId val="61191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16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collaration</a:t>
            </a:r>
            <a:r>
              <a:rPr lang="en-US" baseline="0"/>
              <a:t> between life ladder and frdmlch russia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'freedom to make life choices'!$C$78</c:f>
              <c:strCache>
                <c:ptCount val="1"/>
                <c:pt idx="0">
                  <c:v>LIFE LADDER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'freedom to make life choices'!$B$79:$B$92</c:f>
              <c:numCache>
                <c:formatCode>0.00</c:formatCode>
                <c:ptCount val="14"/>
                <c:pt idx="0">
                  <c:v>3.6751084327697754</c:v>
                </c:pt>
                <c:pt idx="1">
                  <c:v>3.7071945667266846</c:v>
                </c:pt>
                <c:pt idx="2">
                  <c:v>4.156090259552002</c:v>
                </c:pt>
                <c:pt idx="3">
                  <c:v>3.8006391525268555</c:v>
                </c:pt>
                <c:pt idx="4">
                  <c:v>4.101837158203125</c:v>
                </c:pt>
                <c:pt idx="5">
                  <c:v>4.2030305862426758</c:v>
                </c:pt>
                <c:pt idx="6">
                  <c:v>4.2544455528259277</c:v>
                </c:pt>
                <c:pt idx="7">
                  <c:v>4.3489208221435547</c:v>
                </c:pt>
                <c:pt idx="8">
                  <c:v>4.2875080108642578</c:v>
                </c:pt>
                <c:pt idx="9">
                  <c:v>4.1219406127929688</c:v>
                </c:pt>
                <c:pt idx="10">
                  <c:v>4.4483861923217773</c:v>
                </c:pt>
                <c:pt idx="11">
                  <c:v>4.4507746696472168</c:v>
                </c:pt>
                <c:pt idx="12">
                  <c:v>4.6590971946716309</c:v>
                </c:pt>
                <c:pt idx="13">
                  <c:v>4.8918356895446777</c:v>
                </c:pt>
              </c:numCache>
            </c:numRef>
          </c:xVal>
          <c:yVal>
            <c:numRef>
              <c:f>'freedom to make life choices'!$C$79:$C$92</c:f>
              <c:numCache>
                <c:formatCode>0.000</c:formatCode>
                <c:ptCount val="14"/>
                <c:pt idx="0">
                  <c:v>0.77152818441390991</c:v>
                </c:pt>
                <c:pt idx="1">
                  <c:v>0.52204632759094238</c:v>
                </c:pt>
                <c:pt idx="2">
                  <c:v>0.60104328393936157</c:v>
                </c:pt>
                <c:pt idx="3">
                  <c:v>0.49813839793205261</c:v>
                </c:pt>
                <c:pt idx="4">
                  <c:v>0.50107109546661377</c:v>
                </c:pt>
                <c:pt idx="5">
                  <c:v>0.53748428821563721</c:v>
                </c:pt>
                <c:pt idx="6">
                  <c:v>0.59885907173156738</c:v>
                </c:pt>
                <c:pt idx="7">
                  <c:v>0.67195695638656616</c:v>
                </c:pt>
                <c:pt idx="8">
                  <c:v>0.73277294635772705</c:v>
                </c:pt>
                <c:pt idx="9">
                  <c:v>0.7642894983291626</c:v>
                </c:pt>
                <c:pt idx="10">
                  <c:v>0.71257317066192627</c:v>
                </c:pt>
                <c:pt idx="11">
                  <c:v>0.73103046417236328</c:v>
                </c:pt>
                <c:pt idx="12">
                  <c:v>0.77244925498962402</c:v>
                </c:pt>
                <c:pt idx="13">
                  <c:v>0.8542485237121582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5-4BFC-AA21-5F3E0A8F1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940600"/>
        <c:axId val="611936280"/>
      </c:scatterChart>
      <c:valAx>
        <c:axId val="611940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36280"/>
        <c:crosses val="autoZero"/>
        <c:crossBetween val="midCat"/>
      </c:valAx>
      <c:valAx>
        <c:axId val="61193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40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Freedom</a:t>
            </a:r>
            <a:r>
              <a:rPr lang="en-US" baseline="0"/>
              <a:t> to make life choices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'freedom to make life choices'!$B$4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'freedom to make life choices'!$A$5:$A$19</c:f>
              <c:strCache>
                <c:ptCount val="15"/>
                <c:pt idx="0">
                  <c:v>year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strCache>
            </c:strRef>
          </c:cat>
          <c:val>
            <c:numRef>
              <c:f>'freedom to make life choices'!$B$5:$B$19</c:f>
              <c:numCache>
                <c:formatCode>0.000</c:formatCode>
                <c:ptCount val="15"/>
                <c:pt idx="1">
                  <c:v>0.52019780874252319</c:v>
                </c:pt>
                <c:pt idx="2">
                  <c:v>0.60541075468063354</c:v>
                </c:pt>
                <c:pt idx="3">
                  <c:v>0.46215656399726868</c:v>
                </c:pt>
                <c:pt idx="4">
                  <c:v>0.44141274690628052</c:v>
                </c:pt>
                <c:pt idx="5">
                  <c:v>0.45925670862197876</c:v>
                </c:pt>
                <c:pt idx="6">
                  <c:v>0.46452471613883972</c:v>
                </c:pt>
                <c:pt idx="7">
                  <c:v>0.50186377763748169</c:v>
                </c:pt>
                <c:pt idx="8">
                  <c:v>0.5040818452835083</c:v>
                </c:pt>
                <c:pt idx="9">
                  <c:v>0.50648713111877441</c:v>
                </c:pt>
                <c:pt idx="10">
                  <c:v>0.55102664232254028</c:v>
                </c:pt>
                <c:pt idx="11">
                  <c:v>0.61098694801330566</c:v>
                </c:pt>
                <c:pt idx="12">
                  <c:v>0.61369705200195313</c:v>
                </c:pt>
                <c:pt idx="13">
                  <c:v>0.80764365196228027</c:v>
                </c:pt>
                <c:pt idx="14">
                  <c:v>0.84432411193847656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F-432E-8C46-E8FA546F880D}"/>
            </c:ext>
          </c:extLst>
        </c:ser>
        <c:ser>
          <c:idx val="1"/>
          <c:order val="1"/>
          <c:tx>
            <c:strRef>
              <c:f>'freedom to make life choices'!$C$4</c:f>
              <c:strCache>
                <c:ptCount val="1"/>
                <c:pt idx="0">
                  <c:v>Azerbaijan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'freedom to make life choices'!$A$5:$A$19</c:f>
              <c:strCache>
                <c:ptCount val="15"/>
                <c:pt idx="0">
                  <c:v>year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strCache>
            </c:strRef>
          </c:cat>
          <c:val>
            <c:numRef>
              <c:f>'freedom to make life choices'!$C$5:$C$19</c:f>
              <c:numCache>
                <c:formatCode>0.000</c:formatCode>
                <c:ptCount val="15"/>
                <c:pt idx="1">
                  <c:v>0.77152818441390991</c:v>
                </c:pt>
                <c:pt idx="2">
                  <c:v>0.52204632759094238</c:v>
                </c:pt>
                <c:pt idx="3">
                  <c:v>0.60104328393936157</c:v>
                </c:pt>
                <c:pt idx="4">
                  <c:v>0.49813839793205261</c:v>
                </c:pt>
                <c:pt idx="5">
                  <c:v>0.50107109546661377</c:v>
                </c:pt>
                <c:pt idx="6">
                  <c:v>0.53748428821563721</c:v>
                </c:pt>
                <c:pt idx="7">
                  <c:v>0.59885907173156738</c:v>
                </c:pt>
                <c:pt idx="8">
                  <c:v>0.67195695638656616</c:v>
                </c:pt>
                <c:pt idx="9">
                  <c:v>0.73277294635772705</c:v>
                </c:pt>
                <c:pt idx="10">
                  <c:v>0.7642894983291626</c:v>
                </c:pt>
                <c:pt idx="11">
                  <c:v>0.71257317066192627</c:v>
                </c:pt>
                <c:pt idx="12">
                  <c:v>0.73103046417236328</c:v>
                </c:pt>
                <c:pt idx="13">
                  <c:v>0.77244925498962402</c:v>
                </c:pt>
                <c:pt idx="14">
                  <c:v>0.8542485237121582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6F-432E-8C46-E8FA546F880D}"/>
            </c:ext>
          </c:extLst>
        </c:ser>
        <c:ser>
          <c:idx val="2"/>
          <c:order val="2"/>
          <c:tx>
            <c:strRef>
              <c:f>'freedom to make life choices'!$D$4</c:f>
              <c:strCache>
                <c:ptCount val="1"/>
                <c:pt idx="0">
                  <c:v>Georgia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'freedom to make life choices'!$A$5:$A$19</c:f>
              <c:strCache>
                <c:ptCount val="15"/>
                <c:pt idx="0">
                  <c:v>year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strCache>
            </c:strRef>
          </c:cat>
          <c:val>
            <c:numRef>
              <c:f>'freedom to make life choices'!$D$5:$D$19</c:f>
              <c:numCache>
                <c:formatCode>0.000</c:formatCode>
                <c:ptCount val="15"/>
                <c:pt idx="1">
                  <c:v>0.77152818441390991</c:v>
                </c:pt>
                <c:pt idx="2">
                  <c:v>0.52204632759094238</c:v>
                </c:pt>
                <c:pt idx="3">
                  <c:v>0.60104328393936157</c:v>
                </c:pt>
                <c:pt idx="4">
                  <c:v>0.49813839793205261</c:v>
                </c:pt>
                <c:pt idx="5">
                  <c:v>0.50107109546661377</c:v>
                </c:pt>
                <c:pt idx="6">
                  <c:v>0.53748428821563721</c:v>
                </c:pt>
                <c:pt idx="7">
                  <c:v>0.59885907173156738</c:v>
                </c:pt>
                <c:pt idx="8">
                  <c:v>0.67195695638656616</c:v>
                </c:pt>
                <c:pt idx="9">
                  <c:v>0.73277294635772705</c:v>
                </c:pt>
                <c:pt idx="10">
                  <c:v>0.7642894983291626</c:v>
                </c:pt>
                <c:pt idx="11">
                  <c:v>0.71257317066192627</c:v>
                </c:pt>
                <c:pt idx="12">
                  <c:v>0.73103046417236328</c:v>
                </c:pt>
                <c:pt idx="13">
                  <c:v>0.77244925498962402</c:v>
                </c:pt>
                <c:pt idx="14">
                  <c:v>0.8542485237121582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F-432E-8C46-E8FA546F880D}"/>
            </c:ext>
          </c:extLst>
        </c:ser>
        <c:ser>
          <c:idx val="3"/>
          <c:order val="3"/>
          <c:tx>
            <c:strRef>
              <c:f>'freedom to make life choices'!$E$4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'freedom to make life choices'!$A$5:$A$19</c:f>
              <c:strCache>
                <c:ptCount val="15"/>
                <c:pt idx="0">
                  <c:v>year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</c:strCache>
            </c:strRef>
          </c:cat>
          <c:val>
            <c:numRef>
              <c:f>'freedom to make life choices'!$E$5:$E$19</c:f>
              <c:numCache>
                <c:formatCode>0.000</c:formatCode>
                <c:ptCount val="15"/>
                <c:pt idx="1">
                  <c:v>0.77152818441390991</c:v>
                </c:pt>
                <c:pt idx="2">
                  <c:v>0.52204632759094238</c:v>
                </c:pt>
                <c:pt idx="3">
                  <c:v>0.60104328393936157</c:v>
                </c:pt>
                <c:pt idx="4">
                  <c:v>0.49813839793205261</c:v>
                </c:pt>
                <c:pt idx="5">
                  <c:v>0.50107109546661377</c:v>
                </c:pt>
                <c:pt idx="6">
                  <c:v>0.53748428821563721</c:v>
                </c:pt>
                <c:pt idx="7">
                  <c:v>0.59885907173156738</c:v>
                </c:pt>
                <c:pt idx="8">
                  <c:v>0.67195695638656616</c:v>
                </c:pt>
                <c:pt idx="9">
                  <c:v>0.73277294635772705</c:v>
                </c:pt>
                <c:pt idx="10">
                  <c:v>0.7642894983291626</c:v>
                </c:pt>
                <c:pt idx="11">
                  <c:v>0.71257317066192627</c:v>
                </c:pt>
                <c:pt idx="12">
                  <c:v>0.73103046417236328</c:v>
                </c:pt>
                <c:pt idx="13">
                  <c:v>0.77244925498962402</c:v>
                </c:pt>
                <c:pt idx="14">
                  <c:v>0.8542485237121582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F-432E-8C46-E8FA546F8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929448"/>
        <c:axId val="379933712"/>
      </c:lineChart>
      <c:catAx>
        <c:axId val="37992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33712"/>
        <c:crosses val="autoZero"/>
        <c:auto val="1"/>
        <c:lblAlgn val="ctr"/>
        <c:lblOffset val="100"/>
        <c:noMultiLvlLbl val="0"/>
      </c:catAx>
      <c:valAx>
        <c:axId val="3799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2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Freedom</a:t>
            </a:r>
            <a:r>
              <a:rPr lang="en-US" baseline="0"/>
              <a:t> to make life choices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'freedom to make life choices'!$O$5</c:f>
              <c:strCache>
                <c:ptCount val="1"/>
                <c:pt idx="0">
                  <c:v>Armenia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'freedom to make life choices'!$N$6:$N$19</c15:sqref>
                  </c15:fullRef>
                </c:ext>
              </c:extLst>
              <c:f>'freedom to make life choices'!$N$7:$N$19</c:f>
              <c:strCach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'freedom to make life choices'!$O$6:$O$19</c15:sqref>
                  </c15:fullRef>
                </c:ext>
              </c:extLst>
              <c:f>'freedom to make life choices'!$O$7:$O$19</c:f>
              <c:numCache>
                <c:formatCode>General</c:formatCode>
                <c:ptCount val="13"/>
                <c:pt idx="0">
                  <c:v>16.380873680359407</c:v>
                </c:pt>
                <c:pt idx="1">
                  <c:v>-23.662313491430186</c:v>
                </c:pt>
                <c:pt idx="2">
                  <c:v>-4.488482628391437</c:v>
                </c:pt>
                <c:pt idx="3">
                  <c:v>4.0424663403494376</c:v>
                </c:pt>
                <c:pt idx="4">
                  <c:v>1.1470725234842765</c:v>
                </c:pt>
                <c:pt idx="5">
                  <c:v>8.0381215899568765</c:v>
                </c:pt>
                <c:pt idx="6">
                  <c:v>0.44196607622652923</c:v>
                </c:pt>
                <c:pt idx="7">
                  <c:v>0.47716176604482158</c:v>
                </c:pt>
                <c:pt idx="8">
                  <c:v>8.793809055993778</c:v>
                </c:pt>
                <c:pt idx="9">
                  <c:v>10.881561994541086</c:v>
                </c:pt>
                <c:pt idx="10">
                  <c:v>0.44356168285749403</c:v>
                </c:pt>
                <c:pt idx="11">
                  <c:v>31.602987064651877</c:v>
                </c:pt>
                <c:pt idx="12">
                  <c:v>4.5416638745412179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1-463D-9ED7-23F6A19CC448}"/>
            </c:ext>
          </c:extLst>
        </c:ser>
        <c:ser>
          <c:idx val="1"/>
          <c:order val="1"/>
          <c:tx>
            <c:strRef>
              <c:f>'freedom to make life choices'!$P$5</c:f>
              <c:strCache>
                <c:ptCount val="1"/>
                <c:pt idx="0">
                  <c:v>Azerbaijan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'freedom to make life choices'!$N$6:$N$19</c15:sqref>
                  </c15:fullRef>
                </c:ext>
              </c:extLst>
              <c:f>'freedom to make life choices'!$N$7:$N$19</c:f>
              <c:strCach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'freedom to make life choices'!$P$6:$P$19</c15:sqref>
                  </c15:fullRef>
                </c:ext>
              </c:extLst>
              <c:f>'freedom to make life choices'!$P$7:$P$19</c:f>
              <c:numCache>
                <c:formatCode>General</c:formatCode>
                <c:ptCount val="13"/>
                <c:pt idx="0">
                  <c:v>-32.336065209657377</c:v>
                </c:pt>
                <c:pt idx="1">
                  <c:v>15.1321735588031</c:v>
                </c:pt>
                <c:pt idx="2">
                  <c:v>-17.121044150572505</c:v>
                </c:pt>
                <c:pt idx="3">
                  <c:v>0.5887314743725468</c:v>
                </c:pt>
                <c:pt idx="4">
                  <c:v>7.2670710959917342</c:v>
                </c:pt>
                <c:pt idx="5">
                  <c:v>11.418898163457902</c:v>
                </c:pt>
                <c:pt idx="6">
                  <c:v>12.206191423908859</c:v>
                </c:pt>
                <c:pt idx="7">
                  <c:v>9.0505782242656654</c:v>
                </c:pt>
                <c:pt idx="8">
                  <c:v>4.3009983007819326</c:v>
                </c:pt>
                <c:pt idx="9">
                  <c:v>-6.7665888096454321</c:v>
                </c:pt>
                <c:pt idx="10">
                  <c:v>2.5902313292670827</c:v>
                </c:pt>
                <c:pt idx="11">
                  <c:v>5.6658091348016608</c:v>
                </c:pt>
                <c:pt idx="12">
                  <c:v>10.589597723624312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01-463D-9ED7-23F6A19CC448}"/>
            </c:ext>
          </c:extLst>
        </c:ser>
        <c:ser>
          <c:idx val="2"/>
          <c:order val="2"/>
          <c:tx>
            <c:strRef>
              <c:f>'freedom to make life choices'!$Q$5</c:f>
              <c:strCache>
                <c:ptCount val="1"/>
                <c:pt idx="0">
                  <c:v>Georgia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'freedom to make life choices'!$N$6:$N$19</c15:sqref>
                  </c15:fullRef>
                </c:ext>
              </c:extLst>
              <c:f>'freedom to make life choices'!$N$7:$N$19</c:f>
              <c:strCach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'freedom to make life choices'!$Q$6:$Q$19</c15:sqref>
                  </c15:fullRef>
                </c:ext>
              </c:extLst>
              <c:f>'freedom to make life choices'!$Q$7:$Q$19</c:f>
              <c:numCache>
                <c:formatCode>General</c:formatCode>
                <c:ptCount val="13"/>
                <c:pt idx="0">
                  <c:v>-32.336065209657377</c:v>
                </c:pt>
                <c:pt idx="1">
                  <c:v>15.1321735588031</c:v>
                </c:pt>
                <c:pt idx="2">
                  <c:v>-17.121044150572505</c:v>
                </c:pt>
                <c:pt idx="3">
                  <c:v>0.5887314743725468</c:v>
                </c:pt>
                <c:pt idx="4">
                  <c:v>7.2670710959917342</c:v>
                </c:pt>
                <c:pt idx="5">
                  <c:v>11.418898163457902</c:v>
                </c:pt>
                <c:pt idx="6">
                  <c:v>12.206191423908859</c:v>
                </c:pt>
                <c:pt idx="7">
                  <c:v>9.0505782242656654</c:v>
                </c:pt>
                <c:pt idx="8">
                  <c:v>4.3009983007819326</c:v>
                </c:pt>
                <c:pt idx="9">
                  <c:v>-6.7665888096454321</c:v>
                </c:pt>
                <c:pt idx="10">
                  <c:v>2.5902313292670827</c:v>
                </c:pt>
                <c:pt idx="11">
                  <c:v>5.6658091348016608</c:v>
                </c:pt>
                <c:pt idx="12">
                  <c:v>10.589597723624312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01-463D-9ED7-23F6A19CC448}"/>
            </c:ext>
          </c:extLst>
        </c:ser>
        <c:ser>
          <c:idx val="3"/>
          <c:order val="3"/>
          <c:tx>
            <c:strRef>
              <c:f>'freedom to make life choices'!$R$5</c:f>
              <c:strCache>
                <c:ptCount val="1"/>
                <c:pt idx="0">
                  <c:v>Russia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'freedom to make life choices'!$N$6:$N$19</c15:sqref>
                  </c15:fullRef>
                </c:ext>
              </c:extLst>
              <c:f>'freedom to make life choices'!$N$7:$N$19</c:f>
              <c:strCache>
                <c:ptCount val="13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'freedom to make life choices'!$R$6:$R$19</c15:sqref>
                  </c15:fullRef>
                </c:ext>
              </c:extLst>
              <c:f>'freedom to make life choices'!$R$7:$R$19</c:f>
              <c:numCache>
                <c:formatCode>General</c:formatCode>
                <c:ptCount val="13"/>
                <c:pt idx="0">
                  <c:v>-32.336065209657377</c:v>
                </c:pt>
                <c:pt idx="1">
                  <c:v>15.1321735588031</c:v>
                </c:pt>
                <c:pt idx="2">
                  <c:v>-17.121044150572505</c:v>
                </c:pt>
                <c:pt idx="3">
                  <c:v>0.5887314743725468</c:v>
                </c:pt>
                <c:pt idx="4">
                  <c:v>7.2670710959917342</c:v>
                </c:pt>
                <c:pt idx="5">
                  <c:v>11.418898163457902</c:v>
                </c:pt>
                <c:pt idx="6">
                  <c:v>12.206191423908859</c:v>
                </c:pt>
                <c:pt idx="7">
                  <c:v>9.0505782242656654</c:v>
                </c:pt>
                <c:pt idx="8">
                  <c:v>4.3009983007819326</c:v>
                </c:pt>
                <c:pt idx="9">
                  <c:v>-6.7665888096454321</c:v>
                </c:pt>
                <c:pt idx="10">
                  <c:v>2.5902313292670827</c:v>
                </c:pt>
                <c:pt idx="11">
                  <c:v>5.6658091348016608</c:v>
                </c:pt>
                <c:pt idx="12">
                  <c:v>10.589597723624312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01-463D-9ED7-23F6A19CC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906488"/>
        <c:axId val="379906816"/>
      </c:lineChart>
      <c:catAx>
        <c:axId val="37990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06816"/>
        <c:crosses val="autoZero"/>
        <c:auto val="1"/>
        <c:lblAlgn val="ctr"/>
        <c:lblOffset val="100"/>
        <c:noMultiLvlLbl val="0"/>
      </c:catAx>
      <c:valAx>
        <c:axId val="3799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06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of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'freedom to make life choices'!$AB$5:$AE$5</c:f>
              <c:strCache>
                <c:ptCount val="4"/>
                <c:pt idx="0">
                  <c:v>ARMENIA</c:v>
                </c:pt>
                <c:pt idx="1">
                  <c:v>AZERBAIJAN </c:v>
                </c:pt>
                <c:pt idx="2">
                  <c:v>GEORGIA</c:v>
                </c:pt>
                <c:pt idx="3">
                  <c:v>RUSSIA</c:v>
                </c:pt>
              </c:strCache>
            </c:strRef>
          </c:cat>
          <c:val>
            <c:numRef>
              <c:f>'freedom to make life choices'!$AC$6:$AF$6</c:f>
              <c:numCache>
                <c:formatCode>General</c:formatCode>
                <c:ptCount val="4"/>
                <c:pt idx="0">
                  <c:v>4.5108038099373209</c:v>
                </c:pt>
                <c:pt idx="1">
                  <c:v>1.7374294045691907</c:v>
                </c:pt>
                <c:pt idx="2">
                  <c:v>1.7374294045691907</c:v>
                </c:pt>
                <c:pt idx="3">
                  <c:v>1.7374294045691907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5-4984-8869-333289A36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018720"/>
        <c:axId val="439023640"/>
      </c:barChart>
      <c:catAx>
        <c:axId val="4390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23640"/>
        <c:crosses val="autoZero"/>
        <c:auto val="1"/>
        <c:lblAlgn val="ctr"/>
        <c:lblOffset val="100"/>
        <c:noMultiLvlLbl val="0"/>
      </c:catAx>
      <c:valAx>
        <c:axId val="43902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1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collaration</a:t>
            </a:r>
            <a:r>
              <a:rPr lang="en-US" baseline="0"/>
              <a:t> between life ladder and frdmlch for caucasus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'total frmlch correl'!$D$1</c:f>
              <c:strCache>
                <c:ptCount val="1"/>
                <c:pt idx="0">
                  <c:v>Freedom to make life choices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'total frmlch correl'!$C$2:$C$57</c:f>
              <c:numCache>
                <c:formatCode>General</c:formatCode>
                <c:ptCount val="56"/>
                <c:pt idx="0">
                  <c:v>4.2893109321594238</c:v>
                </c:pt>
                <c:pt idx="1">
                  <c:v>4.8815155029296875</c:v>
                </c:pt>
                <c:pt idx="2">
                  <c:v>4.6519722938537598</c:v>
                </c:pt>
                <c:pt idx="3">
                  <c:v>4.177581787109375</c:v>
                </c:pt>
                <c:pt idx="4">
                  <c:v>4.3678112030029297</c:v>
                </c:pt>
                <c:pt idx="5">
                  <c:v>4.2604913711547852</c:v>
                </c:pt>
                <c:pt idx="6">
                  <c:v>4.3197116851806641</c:v>
                </c:pt>
                <c:pt idx="7">
                  <c:v>4.277191162109375</c:v>
                </c:pt>
                <c:pt idx="8">
                  <c:v>4.4530830383300781</c:v>
                </c:pt>
                <c:pt idx="9">
                  <c:v>4.3483195304870605</c:v>
                </c:pt>
                <c:pt idx="10">
                  <c:v>4.3254718780517578</c:v>
                </c:pt>
                <c:pt idx="11">
                  <c:v>4.2877364158630371</c:v>
                </c:pt>
                <c:pt idx="12">
                  <c:v>5.0624485015869141</c:v>
                </c:pt>
                <c:pt idx="13">
                  <c:v>5.4880867004394531</c:v>
                </c:pt>
                <c:pt idx="14">
                  <c:v>4.7278709411621094</c:v>
                </c:pt>
                <c:pt idx="15">
                  <c:v>4.5681595802307129</c:v>
                </c:pt>
                <c:pt idx="16">
                  <c:v>4.8171892166137695</c:v>
                </c:pt>
                <c:pt idx="17">
                  <c:v>4.5737252235412598</c:v>
                </c:pt>
                <c:pt idx="18">
                  <c:v>4.2186107635498047</c:v>
                </c:pt>
                <c:pt idx="19">
                  <c:v>4.6804695129394531</c:v>
                </c:pt>
                <c:pt idx="20">
                  <c:v>4.9107718467712402</c:v>
                </c:pt>
                <c:pt idx="21">
                  <c:v>5.4811782836914063</c:v>
                </c:pt>
                <c:pt idx="22">
                  <c:v>5.2515301704406738</c:v>
                </c:pt>
                <c:pt idx="23">
                  <c:v>5.1467747688293457</c:v>
                </c:pt>
                <c:pt idx="24">
                  <c:v>5.3038949966430664</c:v>
                </c:pt>
                <c:pt idx="25">
                  <c:v>5.1522793769836426</c:v>
                </c:pt>
                <c:pt idx="26">
                  <c:v>5.1679954528808594</c:v>
                </c:pt>
                <c:pt idx="27">
                  <c:v>5.1733894348144531</c:v>
                </c:pt>
                <c:pt idx="28">
                  <c:v>3.6751084327697754</c:v>
                </c:pt>
                <c:pt idx="29">
                  <c:v>3.7071945667266846</c:v>
                </c:pt>
                <c:pt idx="30">
                  <c:v>4.156090259552002</c:v>
                </c:pt>
                <c:pt idx="31">
                  <c:v>3.8006391525268555</c:v>
                </c:pt>
                <c:pt idx="32">
                  <c:v>4.101837158203125</c:v>
                </c:pt>
                <c:pt idx="33">
                  <c:v>4.2030305862426758</c:v>
                </c:pt>
                <c:pt idx="34">
                  <c:v>4.2544455528259277</c:v>
                </c:pt>
                <c:pt idx="35">
                  <c:v>4.3489208221435547</c:v>
                </c:pt>
                <c:pt idx="36">
                  <c:v>4.2875080108642578</c:v>
                </c:pt>
                <c:pt idx="37">
                  <c:v>4.1219406127929688</c:v>
                </c:pt>
                <c:pt idx="38">
                  <c:v>4.4483861923217773</c:v>
                </c:pt>
                <c:pt idx="39">
                  <c:v>4.4507746696472168</c:v>
                </c:pt>
                <c:pt idx="40">
                  <c:v>4.6590971946716309</c:v>
                </c:pt>
                <c:pt idx="41">
                  <c:v>4.8918356895446777</c:v>
                </c:pt>
                <c:pt idx="42">
                  <c:v>4.963742733001709</c:v>
                </c:pt>
                <c:pt idx="43">
                  <c:v>5.222867488861084</c:v>
                </c:pt>
                <c:pt idx="44">
                  <c:v>5.6187539100646973</c:v>
                </c:pt>
                <c:pt idx="45">
                  <c:v>5.1582279205322266</c:v>
                </c:pt>
                <c:pt idx="46">
                  <c:v>5.3847732543945313</c:v>
                </c:pt>
                <c:pt idx="47">
                  <c:v>5.3887662887573242</c:v>
                </c:pt>
                <c:pt idx="48">
                  <c:v>5.6207356452941895</c:v>
                </c:pt>
                <c:pt idx="49">
                  <c:v>5.537177562713623</c:v>
                </c:pt>
                <c:pt idx="50">
                  <c:v>6.0369768142700195</c:v>
                </c:pt>
                <c:pt idx="51">
                  <c:v>5.9955387115478516</c:v>
                </c:pt>
                <c:pt idx="52">
                  <c:v>5.8549456596374512</c:v>
                </c:pt>
                <c:pt idx="53">
                  <c:v>5.5787429809570313</c:v>
                </c:pt>
                <c:pt idx="54">
                  <c:v>5.5135002136230469</c:v>
                </c:pt>
                <c:pt idx="55">
                  <c:v>5.440523624420166</c:v>
                </c:pt>
              </c:numCache>
            </c:numRef>
          </c:xVal>
          <c:yVal>
            <c:numRef>
              <c:f>'total frmlch correl'!$D$2:$D$57</c:f>
              <c:numCache>
                <c:formatCode>General</c:formatCode>
                <c:ptCount val="56"/>
                <c:pt idx="0">
                  <c:v>0.52019780874252319</c:v>
                </c:pt>
                <c:pt idx="1">
                  <c:v>0.60541075468063354</c:v>
                </c:pt>
                <c:pt idx="2">
                  <c:v>0.46215656399726868</c:v>
                </c:pt>
                <c:pt idx="3">
                  <c:v>0.44141274690628052</c:v>
                </c:pt>
                <c:pt idx="4">
                  <c:v>0.45925670862197876</c:v>
                </c:pt>
                <c:pt idx="5">
                  <c:v>0.46452471613883972</c:v>
                </c:pt>
                <c:pt idx="6">
                  <c:v>0.50186377763748169</c:v>
                </c:pt>
                <c:pt idx="7">
                  <c:v>0.5040818452835083</c:v>
                </c:pt>
                <c:pt idx="8">
                  <c:v>0.50648713111877441</c:v>
                </c:pt>
                <c:pt idx="9">
                  <c:v>0.55102664232254028</c:v>
                </c:pt>
                <c:pt idx="10">
                  <c:v>0.61098694801330566</c:v>
                </c:pt>
                <c:pt idx="11">
                  <c:v>0.61369705200195313</c:v>
                </c:pt>
                <c:pt idx="12">
                  <c:v>0.80764365196228027</c:v>
                </c:pt>
                <c:pt idx="13">
                  <c:v>0.84432411193847656</c:v>
                </c:pt>
                <c:pt idx="14">
                  <c:v>0.77152818441390991</c:v>
                </c:pt>
                <c:pt idx="15">
                  <c:v>0.52204632759094238</c:v>
                </c:pt>
                <c:pt idx="16">
                  <c:v>0.60104328393936157</c:v>
                </c:pt>
                <c:pt idx="17">
                  <c:v>0.49813839793205261</c:v>
                </c:pt>
                <c:pt idx="18">
                  <c:v>0.50107109546661377</c:v>
                </c:pt>
                <c:pt idx="19">
                  <c:v>0.53748428821563721</c:v>
                </c:pt>
                <c:pt idx="20">
                  <c:v>0.59885907173156738</c:v>
                </c:pt>
                <c:pt idx="21">
                  <c:v>0.67195695638656616</c:v>
                </c:pt>
                <c:pt idx="22">
                  <c:v>0.73277294635772705</c:v>
                </c:pt>
                <c:pt idx="23">
                  <c:v>0.7642894983291626</c:v>
                </c:pt>
                <c:pt idx="24">
                  <c:v>0.71257317066192627</c:v>
                </c:pt>
                <c:pt idx="25">
                  <c:v>0.73103046417236328</c:v>
                </c:pt>
                <c:pt idx="26">
                  <c:v>0.77244925498962402</c:v>
                </c:pt>
                <c:pt idx="27">
                  <c:v>0.8542485237121582</c:v>
                </c:pt>
                <c:pt idx="28">
                  <c:v>0.55259263515472412</c:v>
                </c:pt>
                <c:pt idx="29">
                  <c:v>0.46372252702713013</c:v>
                </c:pt>
                <c:pt idx="30">
                  <c:v>0.61399739980697632</c:v>
                </c:pt>
                <c:pt idx="31">
                  <c:v>0.49531400203704834</c:v>
                </c:pt>
                <c:pt idx="32">
                  <c:v>0.5578579306602478</c:v>
                </c:pt>
                <c:pt idx="33">
                  <c:v>0.63246452808380127</c:v>
                </c:pt>
                <c:pt idx="34">
                  <c:v>0.65872400999069214</c:v>
                </c:pt>
                <c:pt idx="35">
                  <c:v>0.72212761640548706</c:v>
                </c:pt>
                <c:pt idx="36">
                  <c:v>0.71978116035461426</c:v>
                </c:pt>
                <c:pt idx="37">
                  <c:v>0.63994497060775757</c:v>
                </c:pt>
                <c:pt idx="38">
                  <c:v>0.60646837949752808</c:v>
                </c:pt>
                <c:pt idx="39">
                  <c:v>0.82090878486633301</c:v>
                </c:pt>
                <c:pt idx="40">
                  <c:v>0.77514410018920898</c:v>
                </c:pt>
                <c:pt idx="41">
                  <c:v>0.81053411960601807</c:v>
                </c:pt>
                <c:pt idx="42">
                  <c:v>0.64338821172714233</c:v>
                </c:pt>
                <c:pt idx="43">
                  <c:v>0.59256970882415771</c:v>
                </c:pt>
                <c:pt idx="44">
                  <c:v>0.64277827739715576</c:v>
                </c:pt>
                <c:pt idx="45">
                  <c:v>0.61711513996124268</c:v>
                </c:pt>
                <c:pt idx="46">
                  <c:v>0.61315900087356567</c:v>
                </c:pt>
                <c:pt idx="47">
                  <c:v>0.62584757804870605</c:v>
                </c:pt>
                <c:pt idx="48">
                  <c:v>0.60910415649414063</c:v>
                </c:pt>
                <c:pt idx="49">
                  <c:v>0.66118556261062622</c:v>
                </c:pt>
                <c:pt idx="50">
                  <c:v>0.74433207511901855</c:v>
                </c:pt>
                <c:pt idx="51">
                  <c:v>0.68545472621917725</c:v>
                </c:pt>
                <c:pt idx="52">
                  <c:v>0.71360629796981812</c:v>
                </c:pt>
                <c:pt idx="53">
                  <c:v>0.73087424039840698</c:v>
                </c:pt>
                <c:pt idx="54">
                  <c:v>0.7292822003364563</c:v>
                </c:pt>
                <c:pt idx="55">
                  <c:v>0.71476608514785767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8E-4D0C-A7B2-6EDE7A5CB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025608"/>
        <c:axId val="439018064"/>
      </c:scatterChart>
      <c:valAx>
        <c:axId val="439025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18064"/>
        <c:crosses val="autoZero"/>
        <c:crossBetween val="midCat"/>
      </c:valAx>
      <c:valAx>
        <c:axId val="43901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25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'Correl.(Soc.Supp. and Life Lad)'!$D$1</c:f>
              <c:strCache>
                <c:ptCount val="1"/>
                <c:pt idx="0">
                  <c:v>Social support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'Correl.(Soc.Supp. and Life Lad)'!$C$2:$C$57</c:f>
              <c:numCache>
                <c:formatCode>General</c:formatCode>
                <c:ptCount val="56"/>
                <c:pt idx="0">
                  <c:v>4.2893109321594238</c:v>
                </c:pt>
                <c:pt idx="1">
                  <c:v>4.8815155029296875</c:v>
                </c:pt>
                <c:pt idx="2">
                  <c:v>4.6519722938537598</c:v>
                </c:pt>
                <c:pt idx="3">
                  <c:v>4.177581787109375</c:v>
                </c:pt>
                <c:pt idx="4">
                  <c:v>4.3678112030029297</c:v>
                </c:pt>
                <c:pt idx="5">
                  <c:v>4.2604913711547852</c:v>
                </c:pt>
                <c:pt idx="6">
                  <c:v>4.3197116851806641</c:v>
                </c:pt>
                <c:pt idx="7">
                  <c:v>4.277191162109375</c:v>
                </c:pt>
                <c:pt idx="8">
                  <c:v>4.4530830383300781</c:v>
                </c:pt>
                <c:pt idx="9">
                  <c:v>4.3483195304870605</c:v>
                </c:pt>
                <c:pt idx="10">
                  <c:v>4.3254718780517578</c:v>
                </c:pt>
                <c:pt idx="11">
                  <c:v>4.2877364158630371</c:v>
                </c:pt>
                <c:pt idx="12">
                  <c:v>5.0624485015869141</c:v>
                </c:pt>
                <c:pt idx="13">
                  <c:v>5.4880867004394531</c:v>
                </c:pt>
                <c:pt idx="14">
                  <c:v>4.7278709411621094</c:v>
                </c:pt>
                <c:pt idx="15">
                  <c:v>4.5681595802307129</c:v>
                </c:pt>
                <c:pt idx="16">
                  <c:v>4.8171892166137695</c:v>
                </c:pt>
                <c:pt idx="17">
                  <c:v>4.5737252235412598</c:v>
                </c:pt>
                <c:pt idx="18">
                  <c:v>4.2186107635498047</c:v>
                </c:pt>
                <c:pt idx="19">
                  <c:v>4.6804695129394531</c:v>
                </c:pt>
                <c:pt idx="20">
                  <c:v>4.9107718467712402</c:v>
                </c:pt>
                <c:pt idx="21">
                  <c:v>5.4811782836914063</c:v>
                </c:pt>
                <c:pt idx="22">
                  <c:v>5.2515301704406738</c:v>
                </c:pt>
                <c:pt idx="23">
                  <c:v>5.1467747688293457</c:v>
                </c:pt>
                <c:pt idx="24">
                  <c:v>5.3038949966430664</c:v>
                </c:pt>
                <c:pt idx="25">
                  <c:v>5.1522793769836426</c:v>
                </c:pt>
                <c:pt idx="26">
                  <c:v>5.1679954528808594</c:v>
                </c:pt>
                <c:pt idx="27">
                  <c:v>5.1733894348144531</c:v>
                </c:pt>
                <c:pt idx="28">
                  <c:v>3.6751084327697754</c:v>
                </c:pt>
                <c:pt idx="29">
                  <c:v>3.7071945667266846</c:v>
                </c:pt>
                <c:pt idx="30">
                  <c:v>4.156090259552002</c:v>
                </c:pt>
                <c:pt idx="31">
                  <c:v>3.8006391525268555</c:v>
                </c:pt>
                <c:pt idx="32">
                  <c:v>4.101837158203125</c:v>
                </c:pt>
                <c:pt idx="33">
                  <c:v>4.2030305862426758</c:v>
                </c:pt>
                <c:pt idx="34">
                  <c:v>4.2544455528259277</c:v>
                </c:pt>
                <c:pt idx="35">
                  <c:v>4.3489208221435547</c:v>
                </c:pt>
                <c:pt idx="36">
                  <c:v>4.2875080108642578</c:v>
                </c:pt>
                <c:pt idx="37">
                  <c:v>4.1219406127929688</c:v>
                </c:pt>
                <c:pt idx="38">
                  <c:v>4.4483861923217773</c:v>
                </c:pt>
                <c:pt idx="39">
                  <c:v>4.4507746696472168</c:v>
                </c:pt>
                <c:pt idx="40">
                  <c:v>4.6590971946716309</c:v>
                </c:pt>
                <c:pt idx="41">
                  <c:v>4.8918356895446777</c:v>
                </c:pt>
                <c:pt idx="42">
                  <c:v>4.963742733001709</c:v>
                </c:pt>
                <c:pt idx="43">
                  <c:v>5.222867488861084</c:v>
                </c:pt>
                <c:pt idx="44">
                  <c:v>5.6187539100646973</c:v>
                </c:pt>
                <c:pt idx="45">
                  <c:v>5.1582279205322266</c:v>
                </c:pt>
                <c:pt idx="46">
                  <c:v>5.3847732543945313</c:v>
                </c:pt>
                <c:pt idx="47">
                  <c:v>5.3887662887573242</c:v>
                </c:pt>
                <c:pt idx="48">
                  <c:v>5.6207356452941895</c:v>
                </c:pt>
                <c:pt idx="49">
                  <c:v>5.537177562713623</c:v>
                </c:pt>
                <c:pt idx="50">
                  <c:v>6.0369768142700195</c:v>
                </c:pt>
                <c:pt idx="51">
                  <c:v>5.9955387115478516</c:v>
                </c:pt>
                <c:pt idx="52">
                  <c:v>5.8549456596374512</c:v>
                </c:pt>
                <c:pt idx="53">
                  <c:v>5.5787429809570313</c:v>
                </c:pt>
                <c:pt idx="54">
                  <c:v>5.5135002136230469</c:v>
                </c:pt>
                <c:pt idx="55">
                  <c:v>5.440523624420166</c:v>
                </c:pt>
              </c:numCache>
            </c:numRef>
          </c:xVal>
          <c:yVal>
            <c:numRef>
              <c:f>'Correl.(Soc.Supp. and Life Lad)'!$D$2:$D$57</c:f>
              <c:numCache>
                <c:formatCode>General</c:formatCode>
                <c:ptCount val="56"/>
                <c:pt idx="0">
                  <c:v>0.6818767786026001</c:v>
                </c:pt>
                <c:pt idx="1">
                  <c:v>0.75964432954788208</c:v>
                </c:pt>
                <c:pt idx="2">
                  <c:v>0.70948553085327148</c:v>
                </c:pt>
                <c:pt idx="3">
                  <c:v>0.68000692129135132</c:v>
                </c:pt>
                <c:pt idx="4">
                  <c:v>0.66034233570098877</c:v>
                </c:pt>
                <c:pt idx="5">
                  <c:v>0.70510846376419067</c:v>
                </c:pt>
                <c:pt idx="6">
                  <c:v>0.67644643783569336</c:v>
                </c:pt>
                <c:pt idx="7">
                  <c:v>0.72326004505157471</c:v>
                </c:pt>
                <c:pt idx="8">
                  <c:v>0.73876351118087769</c:v>
                </c:pt>
                <c:pt idx="9">
                  <c:v>0.72255104780197144</c:v>
                </c:pt>
                <c:pt idx="10">
                  <c:v>0.70921832323074341</c:v>
                </c:pt>
                <c:pt idx="11">
                  <c:v>0.6979249119758606</c:v>
                </c:pt>
                <c:pt idx="12">
                  <c:v>0.8144490122795105</c:v>
                </c:pt>
                <c:pt idx="13">
                  <c:v>0.78160387277603149</c:v>
                </c:pt>
                <c:pt idx="14">
                  <c:v>0.85441488027572632</c:v>
                </c:pt>
                <c:pt idx="15">
                  <c:v>0.75324678421020508</c:v>
                </c:pt>
                <c:pt idx="16">
                  <c:v>0.68426722288131714</c:v>
                </c:pt>
                <c:pt idx="17">
                  <c:v>0.73597031831741333</c:v>
                </c:pt>
                <c:pt idx="18">
                  <c:v>0.68700098991394043</c:v>
                </c:pt>
                <c:pt idx="19">
                  <c:v>0.72519391775131226</c:v>
                </c:pt>
                <c:pt idx="20">
                  <c:v>0.76187324523925781</c:v>
                </c:pt>
                <c:pt idx="21">
                  <c:v>0.76969015598297119</c:v>
                </c:pt>
                <c:pt idx="22">
                  <c:v>0.79943335056304932</c:v>
                </c:pt>
                <c:pt idx="23">
                  <c:v>0.78570276498794556</c:v>
                </c:pt>
                <c:pt idx="24">
                  <c:v>0.77727103233337402</c:v>
                </c:pt>
                <c:pt idx="25">
                  <c:v>0.78703939914703369</c:v>
                </c:pt>
                <c:pt idx="26">
                  <c:v>0.78122991323471069</c:v>
                </c:pt>
                <c:pt idx="27">
                  <c:v>0.88675642013549805</c:v>
                </c:pt>
                <c:pt idx="28">
                  <c:v>0.64663594961166382</c:v>
                </c:pt>
                <c:pt idx="29">
                  <c:v>0.54836905002593994</c:v>
                </c:pt>
                <c:pt idx="30">
                  <c:v>0.6075127124786377</c:v>
                </c:pt>
                <c:pt idx="31">
                  <c:v>0.54351305961608887</c:v>
                </c:pt>
                <c:pt idx="32">
                  <c:v>0.54038894176483154</c:v>
                </c:pt>
                <c:pt idx="33">
                  <c:v>0.50293737649917603</c:v>
                </c:pt>
                <c:pt idx="34">
                  <c:v>0.53258645534515381</c:v>
                </c:pt>
                <c:pt idx="35">
                  <c:v>0.55916577577590942</c:v>
                </c:pt>
                <c:pt idx="36">
                  <c:v>0.55842000246047974</c:v>
                </c:pt>
                <c:pt idx="37">
                  <c:v>0.51737159490585327</c:v>
                </c:pt>
                <c:pt idx="38">
                  <c:v>0.53341227769851685</c:v>
                </c:pt>
                <c:pt idx="39">
                  <c:v>0.59049516916275024</c:v>
                </c:pt>
                <c:pt idx="40">
                  <c:v>0.61721855401992798</c:v>
                </c:pt>
                <c:pt idx="41">
                  <c:v>0.67497605085372925</c:v>
                </c:pt>
                <c:pt idx="42">
                  <c:v>0.89470738172531128</c:v>
                </c:pt>
                <c:pt idx="43">
                  <c:v>0.88465636968612671</c:v>
                </c:pt>
                <c:pt idx="44">
                  <c:v>0.88231617212295532</c:v>
                </c:pt>
                <c:pt idx="45">
                  <c:v>0.90807557106018066</c:v>
                </c:pt>
                <c:pt idx="46">
                  <c:v>0.9088141918182373</c:v>
                </c:pt>
                <c:pt idx="47">
                  <c:v>0.88341689109802246</c:v>
                </c:pt>
                <c:pt idx="48">
                  <c:v>0.90129512548446655</c:v>
                </c:pt>
                <c:pt idx="49">
                  <c:v>0.88085699081420898</c:v>
                </c:pt>
                <c:pt idx="50">
                  <c:v>0.9317554235458374</c:v>
                </c:pt>
                <c:pt idx="51">
                  <c:v>0.92436325550079346</c:v>
                </c:pt>
                <c:pt idx="52">
                  <c:v>0.91092735528945923</c:v>
                </c:pt>
                <c:pt idx="53">
                  <c:v>0.89615130424499512</c:v>
                </c:pt>
                <c:pt idx="54">
                  <c:v>0.90872609615325928</c:v>
                </c:pt>
                <c:pt idx="55">
                  <c:v>0.9100988507270813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25-4F8E-BA8E-1123BDCE8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094799"/>
        <c:axId val="108678623"/>
      </c:scatterChart>
      <c:valAx>
        <c:axId val="208909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78623"/>
        <c:crosses val="autoZero"/>
        <c:crossBetween val="midCat"/>
      </c:valAx>
      <c:valAx>
        <c:axId val="10867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09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Armenia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'Correl.(Soc.Supp. and Life Lad)'!$D$1</c:f>
              <c:strCache>
                <c:ptCount val="1"/>
                <c:pt idx="0">
                  <c:v>Social support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'Correl.(Soc.Supp. and Life Lad)'!$C$2:$C$15</c:f>
              <c:numCache>
                <c:formatCode>General</c:formatCode>
                <c:ptCount val="14"/>
                <c:pt idx="0">
                  <c:v>4.2893109321594238</c:v>
                </c:pt>
                <c:pt idx="1">
                  <c:v>4.8815155029296875</c:v>
                </c:pt>
                <c:pt idx="2">
                  <c:v>4.6519722938537598</c:v>
                </c:pt>
                <c:pt idx="3">
                  <c:v>4.177581787109375</c:v>
                </c:pt>
                <c:pt idx="4">
                  <c:v>4.3678112030029297</c:v>
                </c:pt>
                <c:pt idx="5">
                  <c:v>4.2604913711547852</c:v>
                </c:pt>
                <c:pt idx="6">
                  <c:v>4.3197116851806641</c:v>
                </c:pt>
                <c:pt idx="7">
                  <c:v>4.277191162109375</c:v>
                </c:pt>
                <c:pt idx="8">
                  <c:v>4.4530830383300781</c:v>
                </c:pt>
                <c:pt idx="9">
                  <c:v>4.3483195304870605</c:v>
                </c:pt>
                <c:pt idx="10">
                  <c:v>4.3254718780517578</c:v>
                </c:pt>
                <c:pt idx="11">
                  <c:v>4.2877364158630371</c:v>
                </c:pt>
                <c:pt idx="12">
                  <c:v>5.0624485015869141</c:v>
                </c:pt>
                <c:pt idx="13">
                  <c:v>5.4880867004394531</c:v>
                </c:pt>
              </c:numCache>
            </c:numRef>
          </c:xVal>
          <c:yVal>
            <c:numRef>
              <c:f>'Correl.(Soc.Supp. and Life Lad)'!$D$2:$D$15</c:f>
              <c:numCache>
                <c:formatCode>General</c:formatCode>
                <c:ptCount val="14"/>
                <c:pt idx="0">
                  <c:v>0.6818767786026001</c:v>
                </c:pt>
                <c:pt idx="1">
                  <c:v>0.75964432954788208</c:v>
                </c:pt>
                <c:pt idx="2">
                  <c:v>0.70948553085327148</c:v>
                </c:pt>
                <c:pt idx="3">
                  <c:v>0.68000692129135132</c:v>
                </c:pt>
                <c:pt idx="4">
                  <c:v>0.66034233570098877</c:v>
                </c:pt>
                <c:pt idx="5">
                  <c:v>0.70510846376419067</c:v>
                </c:pt>
                <c:pt idx="6">
                  <c:v>0.67644643783569336</c:v>
                </c:pt>
                <c:pt idx="7">
                  <c:v>0.72326004505157471</c:v>
                </c:pt>
                <c:pt idx="8">
                  <c:v>0.73876351118087769</c:v>
                </c:pt>
                <c:pt idx="9">
                  <c:v>0.72255104780197144</c:v>
                </c:pt>
                <c:pt idx="10">
                  <c:v>0.70921832323074341</c:v>
                </c:pt>
                <c:pt idx="11">
                  <c:v>0.6979249119758606</c:v>
                </c:pt>
                <c:pt idx="12">
                  <c:v>0.8144490122795105</c:v>
                </c:pt>
                <c:pt idx="13">
                  <c:v>0.78160387277603149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3F-490B-B5F0-4CD1C2C28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158639"/>
        <c:axId val="2034440335"/>
      </c:scatterChart>
      <c:valAx>
        <c:axId val="65915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40335"/>
        <c:crosses val="autoZero"/>
        <c:crossBetween val="midCat"/>
      </c:valAx>
      <c:valAx>
        <c:axId val="20344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158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Azerbaijan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'Correl.(Soc.Supp. and Life Lad)'!$C$16:$C$29</c:f>
              <c:numCache>
                <c:formatCode>General</c:formatCode>
                <c:ptCount val="14"/>
                <c:pt idx="0">
                  <c:v>4.7278709411621094</c:v>
                </c:pt>
                <c:pt idx="1">
                  <c:v>4.5681595802307129</c:v>
                </c:pt>
                <c:pt idx="2">
                  <c:v>4.8171892166137695</c:v>
                </c:pt>
                <c:pt idx="3">
                  <c:v>4.5737252235412598</c:v>
                </c:pt>
                <c:pt idx="4">
                  <c:v>4.2186107635498047</c:v>
                </c:pt>
                <c:pt idx="5">
                  <c:v>4.6804695129394531</c:v>
                </c:pt>
                <c:pt idx="6">
                  <c:v>4.9107718467712402</c:v>
                </c:pt>
                <c:pt idx="7">
                  <c:v>5.4811782836914063</c:v>
                </c:pt>
                <c:pt idx="8">
                  <c:v>5.2515301704406738</c:v>
                </c:pt>
                <c:pt idx="9">
                  <c:v>5.1467747688293457</c:v>
                </c:pt>
                <c:pt idx="10">
                  <c:v>5.3038949966430664</c:v>
                </c:pt>
                <c:pt idx="11">
                  <c:v>5.1522793769836426</c:v>
                </c:pt>
                <c:pt idx="12">
                  <c:v>5.1679954528808594</c:v>
                </c:pt>
                <c:pt idx="13">
                  <c:v>5.1733894348144531</c:v>
                </c:pt>
              </c:numCache>
            </c:numRef>
          </c:xVal>
          <c:yVal>
            <c:numRef>
              <c:f>'Correl.(Soc.Supp. and Life Lad)'!$D$16:$D$29</c:f>
              <c:numCache>
                <c:formatCode>General</c:formatCode>
                <c:ptCount val="14"/>
                <c:pt idx="0">
                  <c:v>0.85441488027572632</c:v>
                </c:pt>
                <c:pt idx="1">
                  <c:v>0.75324678421020508</c:v>
                </c:pt>
                <c:pt idx="2">
                  <c:v>0.68426722288131714</c:v>
                </c:pt>
                <c:pt idx="3">
                  <c:v>0.73597031831741333</c:v>
                </c:pt>
                <c:pt idx="4">
                  <c:v>0.68700098991394043</c:v>
                </c:pt>
                <c:pt idx="5">
                  <c:v>0.72519391775131226</c:v>
                </c:pt>
                <c:pt idx="6">
                  <c:v>0.76187324523925781</c:v>
                </c:pt>
                <c:pt idx="7">
                  <c:v>0.76969015598297119</c:v>
                </c:pt>
                <c:pt idx="8">
                  <c:v>0.79943335056304932</c:v>
                </c:pt>
                <c:pt idx="9">
                  <c:v>0.78570276498794556</c:v>
                </c:pt>
                <c:pt idx="10">
                  <c:v>0.77727103233337402</c:v>
                </c:pt>
                <c:pt idx="11">
                  <c:v>0.78703939914703369</c:v>
                </c:pt>
                <c:pt idx="12">
                  <c:v>0.78122991323471069</c:v>
                </c:pt>
                <c:pt idx="13">
                  <c:v>0.88675642013549805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BC-4299-9190-5097D77FE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312079"/>
        <c:axId val="731771983"/>
      </c:scatterChart>
      <c:valAx>
        <c:axId val="64831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71983"/>
        <c:crosses val="autoZero"/>
        <c:crossBetween val="midCat"/>
      </c:valAx>
      <c:valAx>
        <c:axId val="73177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312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Georgia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'Correl.(Soc.Supp. and Life Lad)'!$C$30:$C$43</c:f>
              <c:numCache>
                <c:formatCode>General</c:formatCode>
                <c:ptCount val="14"/>
                <c:pt idx="0">
                  <c:v>3.6751084327697754</c:v>
                </c:pt>
                <c:pt idx="1">
                  <c:v>3.7071945667266846</c:v>
                </c:pt>
                <c:pt idx="2">
                  <c:v>4.156090259552002</c:v>
                </c:pt>
                <c:pt idx="3">
                  <c:v>3.8006391525268555</c:v>
                </c:pt>
                <c:pt idx="4">
                  <c:v>4.101837158203125</c:v>
                </c:pt>
                <c:pt idx="5">
                  <c:v>4.2030305862426758</c:v>
                </c:pt>
                <c:pt idx="6">
                  <c:v>4.2544455528259277</c:v>
                </c:pt>
                <c:pt idx="7">
                  <c:v>4.3489208221435547</c:v>
                </c:pt>
                <c:pt idx="8">
                  <c:v>4.2875080108642578</c:v>
                </c:pt>
                <c:pt idx="9">
                  <c:v>4.1219406127929688</c:v>
                </c:pt>
                <c:pt idx="10">
                  <c:v>4.4483861923217773</c:v>
                </c:pt>
                <c:pt idx="11">
                  <c:v>4.4507746696472168</c:v>
                </c:pt>
                <c:pt idx="12">
                  <c:v>4.6590971946716309</c:v>
                </c:pt>
                <c:pt idx="13">
                  <c:v>4.8918356895446777</c:v>
                </c:pt>
              </c:numCache>
            </c:numRef>
          </c:xVal>
          <c:yVal>
            <c:numRef>
              <c:f>'Correl.(Soc.Supp. and Life Lad)'!$D$30:$D$43</c:f>
              <c:numCache>
                <c:formatCode>General</c:formatCode>
                <c:ptCount val="14"/>
                <c:pt idx="0">
                  <c:v>0.64663594961166382</c:v>
                </c:pt>
                <c:pt idx="1">
                  <c:v>0.54836905002593994</c:v>
                </c:pt>
                <c:pt idx="2">
                  <c:v>0.6075127124786377</c:v>
                </c:pt>
                <c:pt idx="3">
                  <c:v>0.54351305961608887</c:v>
                </c:pt>
                <c:pt idx="4">
                  <c:v>0.54038894176483154</c:v>
                </c:pt>
                <c:pt idx="5">
                  <c:v>0.50293737649917603</c:v>
                </c:pt>
                <c:pt idx="6">
                  <c:v>0.53258645534515381</c:v>
                </c:pt>
                <c:pt idx="7">
                  <c:v>0.55916577577590942</c:v>
                </c:pt>
                <c:pt idx="8">
                  <c:v>0.55842000246047974</c:v>
                </c:pt>
                <c:pt idx="9">
                  <c:v>0.51737159490585327</c:v>
                </c:pt>
                <c:pt idx="10">
                  <c:v>0.53341227769851685</c:v>
                </c:pt>
                <c:pt idx="11">
                  <c:v>0.59049516916275024</c:v>
                </c:pt>
                <c:pt idx="12">
                  <c:v>0.61721855401992798</c:v>
                </c:pt>
                <c:pt idx="13">
                  <c:v>0.67497605085372925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5B-400E-A671-32F4B144B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820079"/>
        <c:axId val="2034445743"/>
      </c:scatterChart>
      <c:valAx>
        <c:axId val="204382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445743"/>
        <c:crosses val="autoZero"/>
        <c:crossBetween val="midCat"/>
      </c:valAx>
      <c:valAx>
        <c:axId val="203444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82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'Correl.(Soc.Supp. and Life Lad)'!$C$44:$C$57</c:f>
              <c:numCache>
                <c:formatCode>General</c:formatCode>
                <c:ptCount val="14"/>
                <c:pt idx="0">
                  <c:v>4.963742733001709</c:v>
                </c:pt>
                <c:pt idx="1">
                  <c:v>5.222867488861084</c:v>
                </c:pt>
                <c:pt idx="2">
                  <c:v>5.6187539100646973</c:v>
                </c:pt>
                <c:pt idx="3">
                  <c:v>5.1582279205322266</c:v>
                </c:pt>
                <c:pt idx="4">
                  <c:v>5.3847732543945313</c:v>
                </c:pt>
                <c:pt idx="5">
                  <c:v>5.3887662887573242</c:v>
                </c:pt>
                <c:pt idx="6">
                  <c:v>5.6207356452941895</c:v>
                </c:pt>
                <c:pt idx="7">
                  <c:v>5.537177562713623</c:v>
                </c:pt>
                <c:pt idx="8">
                  <c:v>6.0369768142700195</c:v>
                </c:pt>
                <c:pt idx="9">
                  <c:v>5.9955387115478516</c:v>
                </c:pt>
                <c:pt idx="10">
                  <c:v>5.8549456596374512</c:v>
                </c:pt>
                <c:pt idx="11">
                  <c:v>5.5787429809570313</c:v>
                </c:pt>
                <c:pt idx="12">
                  <c:v>5.5135002136230469</c:v>
                </c:pt>
                <c:pt idx="13">
                  <c:v>5.440523624420166</c:v>
                </c:pt>
              </c:numCache>
            </c:numRef>
          </c:xVal>
          <c:yVal>
            <c:numRef>
              <c:f>'Correl.(Soc.Supp. and Life Lad)'!$D$44:$D$57</c:f>
              <c:numCache>
                <c:formatCode>General</c:formatCode>
                <c:ptCount val="14"/>
                <c:pt idx="0">
                  <c:v>0.89470738172531128</c:v>
                </c:pt>
                <c:pt idx="1">
                  <c:v>0.88465636968612671</c:v>
                </c:pt>
                <c:pt idx="2">
                  <c:v>0.88231617212295532</c:v>
                </c:pt>
                <c:pt idx="3">
                  <c:v>0.90807557106018066</c:v>
                </c:pt>
                <c:pt idx="4">
                  <c:v>0.9088141918182373</c:v>
                </c:pt>
                <c:pt idx="5">
                  <c:v>0.88341689109802246</c:v>
                </c:pt>
                <c:pt idx="6">
                  <c:v>0.90129512548446655</c:v>
                </c:pt>
                <c:pt idx="7">
                  <c:v>0.88085699081420898</c:v>
                </c:pt>
                <c:pt idx="8">
                  <c:v>0.9317554235458374</c:v>
                </c:pt>
                <c:pt idx="9">
                  <c:v>0.92436325550079346</c:v>
                </c:pt>
                <c:pt idx="10">
                  <c:v>0.91092735528945923</c:v>
                </c:pt>
                <c:pt idx="11">
                  <c:v>0.89615130424499512</c:v>
                </c:pt>
                <c:pt idx="12">
                  <c:v>0.90872609615325928</c:v>
                </c:pt>
                <c:pt idx="13">
                  <c:v>0.9100988507270813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62-4772-AA9A-AB3822DA3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350079"/>
        <c:axId val="731762415"/>
      </c:scatterChart>
      <c:valAx>
        <c:axId val="64835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762415"/>
        <c:crosses val="autoZero"/>
        <c:crossBetween val="midCat"/>
      </c:valAx>
      <c:valAx>
        <c:axId val="73176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35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Generosity and Life Ladder in Caucasus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'correl,(Generosity_Life lad)'!$D$1</c:f>
              <c:strCache>
                <c:ptCount val="1"/>
                <c:pt idx="0">
                  <c:v>Generosity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'correl,(Generosity_Life lad)'!$C$2:$C$57</c:f>
              <c:numCache>
                <c:formatCode>0.000</c:formatCode>
                <c:ptCount val="56"/>
                <c:pt idx="0">
                  <c:v>4.2893109321594238</c:v>
                </c:pt>
                <c:pt idx="1">
                  <c:v>4.8815155029296875</c:v>
                </c:pt>
                <c:pt idx="2">
                  <c:v>4.6519722938537598</c:v>
                </c:pt>
                <c:pt idx="3">
                  <c:v>4.177581787109375</c:v>
                </c:pt>
                <c:pt idx="4">
                  <c:v>4.3678112030029297</c:v>
                </c:pt>
                <c:pt idx="5">
                  <c:v>4.2604913711547852</c:v>
                </c:pt>
                <c:pt idx="6">
                  <c:v>4.3197116851806641</c:v>
                </c:pt>
                <c:pt idx="7">
                  <c:v>4.277191162109375</c:v>
                </c:pt>
                <c:pt idx="8">
                  <c:v>4.4530830383300781</c:v>
                </c:pt>
                <c:pt idx="9">
                  <c:v>4.3483195304870605</c:v>
                </c:pt>
                <c:pt idx="10">
                  <c:v>4.3254718780517578</c:v>
                </c:pt>
                <c:pt idx="11">
                  <c:v>4.2877364158630371</c:v>
                </c:pt>
                <c:pt idx="12">
                  <c:v>5.0624485015869141</c:v>
                </c:pt>
                <c:pt idx="13">
                  <c:v>5.4880867004394531</c:v>
                </c:pt>
                <c:pt idx="14">
                  <c:v>4.7278709411621094</c:v>
                </c:pt>
                <c:pt idx="15">
                  <c:v>4.5681595802307129</c:v>
                </c:pt>
                <c:pt idx="16">
                  <c:v>4.8171892166137695</c:v>
                </c:pt>
                <c:pt idx="17">
                  <c:v>4.5737252235412598</c:v>
                </c:pt>
                <c:pt idx="18">
                  <c:v>4.2186107635498047</c:v>
                </c:pt>
                <c:pt idx="19">
                  <c:v>4.6804695129394531</c:v>
                </c:pt>
                <c:pt idx="20">
                  <c:v>4.9107718467712402</c:v>
                </c:pt>
                <c:pt idx="21">
                  <c:v>5.4811782836914063</c:v>
                </c:pt>
                <c:pt idx="22">
                  <c:v>5.2515301704406738</c:v>
                </c:pt>
                <c:pt idx="23">
                  <c:v>5.1467747688293457</c:v>
                </c:pt>
                <c:pt idx="24">
                  <c:v>5.3038949966430664</c:v>
                </c:pt>
                <c:pt idx="25">
                  <c:v>5.1522793769836426</c:v>
                </c:pt>
                <c:pt idx="26">
                  <c:v>5.1679954528808594</c:v>
                </c:pt>
                <c:pt idx="27">
                  <c:v>5.1733894348144531</c:v>
                </c:pt>
                <c:pt idx="28">
                  <c:v>3.6751084327697754</c:v>
                </c:pt>
                <c:pt idx="29">
                  <c:v>3.7071945667266846</c:v>
                </c:pt>
                <c:pt idx="30">
                  <c:v>4.156090259552002</c:v>
                </c:pt>
                <c:pt idx="31">
                  <c:v>3.8006391525268555</c:v>
                </c:pt>
                <c:pt idx="32">
                  <c:v>4.101837158203125</c:v>
                </c:pt>
                <c:pt idx="33">
                  <c:v>4.2030305862426758</c:v>
                </c:pt>
                <c:pt idx="34">
                  <c:v>4.2544455528259277</c:v>
                </c:pt>
                <c:pt idx="35">
                  <c:v>4.3489208221435547</c:v>
                </c:pt>
                <c:pt idx="36">
                  <c:v>4.2875080108642578</c:v>
                </c:pt>
                <c:pt idx="37">
                  <c:v>4.1219406127929688</c:v>
                </c:pt>
                <c:pt idx="38">
                  <c:v>4.4483861923217773</c:v>
                </c:pt>
                <c:pt idx="39">
                  <c:v>4.4507746696472168</c:v>
                </c:pt>
                <c:pt idx="40">
                  <c:v>4.6590971946716309</c:v>
                </c:pt>
                <c:pt idx="41">
                  <c:v>4.8918356895446777</c:v>
                </c:pt>
                <c:pt idx="42">
                  <c:v>4.963742733001709</c:v>
                </c:pt>
                <c:pt idx="43">
                  <c:v>5.222867488861084</c:v>
                </c:pt>
                <c:pt idx="44">
                  <c:v>5.6187539100646973</c:v>
                </c:pt>
                <c:pt idx="45">
                  <c:v>5.1582279205322266</c:v>
                </c:pt>
                <c:pt idx="46">
                  <c:v>5.3847732543945313</c:v>
                </c:pt>
                <c:pt idx="47">
                  <c:v>5.3887662887573242</c:v>
                </c:pt>
                <c:pt idx="48">
                  <c:v>5.6207356452941895</c:v>
                </c:pt>
                <c:pt idx="49">
                  <c:v>5.537177562713623</c:v>
                </c:pt>
                <c:pt idx="50">
                  <c:v>6.0369768142700195</c:v>
                </c:pt>
                <c:pt idx="51">
                  <c:v>5.9955387115478516</c:v>
                </c:pt>
                <c:pt idx="52">
                  <c:v>5.8549456596374512</c:v>
                </c:pt>
                <c:pt idx="53">
                  <c:v>5.5787429809570313</c:v>
                </c:pt>
                <c:pt idx="54">
                  <c:v>5.5135002136230469</c:v>
                </c:pt>
                <c:pt idx="55">
                  <c:v>5.440523624420166</c:v>
                </c:pt>
              </c:numCache>
            </c:numRef>
          </c:xVal>
          <c:yVal>
            <c:numRef>
              <c:f>'correl,(Generosity_Life lad)'!$D$2:$D$57</c:f>
              <c:numCache>
                <c:formatCode>0.000</c:formatCode>
                <c:ptCount val="56"/>
                <c:pt idx="0">
                  <c:v>-0.23490116000175476</c:v>
                </c:pt>
                <c:pt idx="1">
                  <c:v>-0.25497710704803467</c:v>
                </c:pt>
                <c:pt idx="2">
                  <c:v>-0.21904514729976654</c:v>
                </c:pt>
                <c:pt idx="3">
                  <c:v>-0.21777066588401794</c:v>
                </c:pt>
                <c:pt idx="4">
                  <c:v>-0.17998570203781128</c:v>
                </c:pt>
                <c:pt idx="5">
                  <c:v>-0.22973772883415222</c:v>
                </c:pt>
                <c:pt idx="6">
                  <c:v>-0.22002717852592468</c:v>
                </c:pt>
                <c:pt idx="7">
                  <c:v>-0.20098087191581726</c:v>
                </c:pt>
                <c:pt idx="8">
                  <c:v>-0.22462782263755798</c:v>
                </c:pt>
                <c:pt idx="9">
                  <c:v>-0.20938660204410553</c:v>
                </c:pt>
                <c:pt idx="10">
                  <c:v>-0.17776034772396088</c:v>
                </c:pt>
                <c:pt idx="11">
                  <c:v>-0.15476050972938538</c:v>
                </c:pt>
                <c:pt idx="12">
                  <c:v>-0.17107826471328735</c:v>
                </c:pt>
                <c:pt idx="13">
                  <c:v>-0.18142963945865631</c:v>
                </c:pt>
                <c:pt idx="14">
                  <c:v>-0.2392495721578598</c:v>
                </c:pt>
                <c:pt idx="15">
                  <c:v>-0.21111249923706055</c:v>
                </c:pt>
                <c:pt idx="16">
                  <c:v>-3.381616622209549E-2</c:v>
                </c:pt>
                <c:pt idx="17">
                  <c:v>-9.1217078268527985E-2</c:v>
                </c:pt>
                <c:pt idx="18">
                  <c:v>-0.1277264803647995</c:v>
                </c:pt>
                <c:pt idx="19">
                  <c:v>-0.11023659259080887</c:v>
                </c:pt>
                <c:pt idx="20">
                  <c:v>-0.14562302827835083</c:v>
                </c:pt>
                <c:pt idx="21">
                  <c:v>-0.1734439879655838</c:v>
                </c:pt>
                <c:pt idx="22">
                  <c:v>-0.21381649374961853</c:v>
                </c:pt>
                <c:pt idx="23">
                  <c:v>-0.20340487360954285</c:v>
                </c:pt>
                <c:pt idx="24">
                  <c:v>-0.20979988574981689</c:v>
                </c:pt>
                <c:pt idx="25">
                  <c:v>-0.23079732060432434</c:v>
                </c:pt>
                <c:pt idx="26">
                  <c:v>-0.23728296160697937</c:v>
                </c:pt>
                <c:pt idx="27">
                  <c:v>-0.22002698481082916</c:v>
                </c:pt>
                <c:pt idx="28">
                  <c:v>-0.27255910634994507</c:v>
                </c:pt>
                <c:pt idx="29">
                  <c:v>-0.27222028374671936</c:v>
                </c:pt>
                <c:pt idx="30">
                  <c:v>-0.22981572151184082</c:v>
                </c:pt>
                <c:pt idx="31">
                  <c:v>-0.23808903992176056</c:v>
                </c:pt>
                <c:pt idx="32">
                  <c:v>-0.25316470861434937</c:v>
                </c:pt>
                <c:pt idx="33">
                  <c:v>-0.26043832302093506</c:v>
                </c:pt>
                <c:pt idx="34">
                  <c:v>-0.27456489205360413</c:v>
                </c:pt>
                <c:pt idx="35">
                  <c:v>-0.2596762478351593</c:v>
                </c:pt>
                <c:pt idx="36">
                  <c:v>-0.23858177661895752</c:v>
                </c:pt>
                <c:pt idx="37">
                  <c:v>-0.21042811870574951</c:v>
                </c:pt>
                <c:pt idx="38">
                  <c:v>-0.25481438636779785</c:v>
                </c:pt>
                <c:pt idx="39">
                  <c:v>-0.2495434433221817</c:v>
                </c:pt>
                <c:pt idx="40">
                  <c:v>-0.23838350176811218</c:v>
                </c:pt>
                <c:pt idx="41">
                  <c:v>-0.26528984308242798</c:v>
                </c:pt>
                <c:pt idx="42">
                  <c:v>-0.31214404106140137</c:v>
                </c:pt>
                <c:pt idx="43">
                  <c:v>-0.28935009241104126</c:v>
                </c:pt>
                <c:pt idx="44">
                  <c:v>-0.31063604354858398</c:v>
                </c:pt>
                <c:pt idx="45">
                  <c:v>-0.28898179531097412</c:v>
                </c:pt>
                <c:pt idx="46">
                  <c:v>-0.30197861790657043</c:v>
                </c:pt>
                <c:pt idx="47">
                  <c:v>-0.28445571660995483</c:v>
                </c:pt>
                <c:pt idx="48">
                  <c:v>-0.29825288057327271</c:v>
                </c:pt>
                <c:pt idx="49">
                  <c:v>-0.29497125744819641</c:v>
                </c:pt>
                <c:pt idx="50">
                  <c:v>-0.27019765973091125</c:v>
                </c:pt>
                <c:pt idx="51">
                  <c:v>-0.17669197916984558</c:v>
                </c:pt>
                <c:pt idx="52">
                  <c:v>-0.18687869608402252</c:v>
                </c:pt>
                <c:pt idx="53">
                  <c:v>-0.15059798955917358</c:v>
                </c:pt>
                <c:pt idx="54">
                  <c:v>-0.15297549962997437</c:v>
                </c:pt>
                <c:pt idx="55">
                  <c:v>-0.1219959631562233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E8-49F4-9F70-7D17C4FE1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16944"/>
        <c:axId val="390214976"/>
      </c:scatterChart>
      <c:valAx>
        <c:axId val="39021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14976"/>
        <c:crosses val="autoZero"/>
        <c:crossBetween val="midCat"/>
      </c:valAx>
      <c:valAx>
        <c:axId val="39021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21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between Generosity and Life Ladder in Armenia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'correl,(Generosity_Life lad)'!$D$1</c:f>
              <c:strCache>
                <c:ptCount val="1"/>
                <c:pt idx="0">
                  <c:v>Generosity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'correl,(Generosity_Life lad)'!$C$2:$C$14</c:f>
              <c:numCache>
                <c:formatCode>0.000</c:formatCode>
                <c:ptCount val="13"/>
                <c:pt idx="0">
                  <c:v>4.2893109321594238</c:v>
                </c:pt>
                <c:pt idx="1">
                  <c:v>4.8815155029296875</c:v>
                </c:pt>
                <c:pt idx="2">
                  <c:v>4.6519722938537598</c:v>
                </c:pt>
                <c:pt idx="3">
                  <c:v>4.177581787109375</c:v>
                </c:pt>
                <c:pt idx="4">
                  <c:v>4.3678112030029297</c:v>
                </c:pt>
                <c:pt idx="5">
                  <c:v>4.2604913711547852</c:v>
                </c:pt>
                <c:pt idx="6">
                  <c:v>4.3197116851806641</c:v>
                </c:pt>
                <c:pt idx="7">
                  <c:v>4.277191162109375</c:v>
                </c:pt>
                <c:pt idx="8">
                  <c:v>4.4530830383300781</c:v>
                </c:pt>
                <c:pt idx="9">
                  <c:v>4.3483195304870605</c:v>
                </c:pt>
                <c:pt idx="10">
                  <c:v>4.3254718780517578</c:v>
                </c:pt>
                <c:pt idx="11">
                  <c:v>4.2877364158630371</c:v>
                </c:pt>
                <c:pt idx="12">
                  <c:v>5.0624485015869141</c:v>
                </c:pt>
              </c:numCache>
            </c:numRef>
          </c:xVal>
          <c:yVal>
            <c:numRef>
              <c:f>'correl,(Generosity_Life lad)'!$D$2:$D$14</c:f>
              <c:numCache>
                <c:formatCode>0.000</c:formatCode>
                <c:ptCount val="13"/>
                <c:pt idx="0">
                  <c:v>-0.23490116000175476</c:v>
                </c:pt>
                <c:pt idx="1">
                  <c:v>-0.25497710704803467</c:v>
                </c:pt>
                <c:pt idx="2">
                  <c:v>-0.21904514729976654</c:v>
                </c:pt>
                <c:pt idx="3">
                  <c:v>-0.21777066588401794</c:v>
                </c:pt>
                <c:pt idx="4">
                  <c:v>-0.17998570203781128</c:v>
                </c:pt>
                <c:pt idx="5">
                  <c:v>-0.22973772883415222</c:v>
                </c:pt>
                <c:pt idx="6">
                  <c:v>-0.22002717852592468</c:v>
                </c:pt>
                <c:pt idx="7">
                  <c:v>-0.20098087191581726</c:v>
                </c:pt>
                <c:pt idx="8">
                  <c:v>-0.22462782263755798</c:v>
                </c:pt>
                <c:pt idx="9">
                  <c:v>-0.20938660204410553</c:v>
                </c:pt>
                <c:pt idx="10">
                  <c:v>-0.17776034772396088</c:v>
                </c:pt>
                <c:pt idx="11">
                  <c:v>-0.15476050972938538</c:v>
                </c:pt>
                <c:pt idx="12">
                  <c:v>-0.17107826471328735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DD-4041-89F6-93866078F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949496"/>
        <c:axId val="402949824"/>
      </c:scatterChart>
      <c:valAx>
        <c:axId val="402949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949824"/>
        <c:crosses val="autoZero"/>
        <c:crossBetween val="midCat"/>
      </c:valAx>
      <c:valAx>
        <c:axId val="40294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949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Generosity and Life ladder in Azerbaijan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'correl,(Generosity_Life lad)'!$C$16:$C$29</c:f>
              <c:numCache>
                <c:formatCode>0.000</c:formatCode>
                <c:ptCount val="14"/>
                <c:pt idx="0">
                  <c:v>4.7278709411621094</c:v>
                </c:pt>
                <c:pt idx="1">
                  <c:v>4.5681595802307129</c:v>
                </c:pt>
                <c:pt idx="2">
                  <c:v>4.8171892166137695</c:v>
                </c:pt>
                <c:pt idx="3">
                  <c:v>4.5737252235412598</c:v>
                </c:pt>
                <c:pt idx="4">
                  <c:v>4.2186107635498047</c:v>
                </c:pt>
                <c:pt idx="5">
                  <c:v>4.6804695129394531</c:v>
                </c:pt>
                <c:pt idx="6">
                  <c:v>4.9107718467712402</c:v>
                </c:pt>
                <c:pt idx="7">
                  <c:v>5.4811782836914063</c:v>
                </c:pt>
                <c:pt idx="8">
                  <c:v>5.2515301704406738</c:v>
                </c:pt>
                <c:pt idx="9">
                  <c:v>5.1467747688293457</c:v>
                </c:pt>
                <c:pt idx="10">
                  <c:v>5.3038949966430664</c:v>
                </c:pt>
                <c:pt idx="11">
                  <c:v>5.1522793769836426</c:v>
                </c:pt>
                <c:pt idx="12">
                  <c:v>5.1679954528808594</c:v>
                </c:pt>
                <c:pt idx="13">
                  <c:v>5.1733894348144531</c:v>
                </c:pt>
              </c:numCache>
            </c:numRef>
          </c:xVal>
          <c:yVal>
            <c:numRef>
              <c:f>'correl,(Generosity_Life lad)'!$D$16:$D$29</c:f>
              <c:numCache>
                <c:formatCode>0.000</c:formatCode>
                <c:ptCount val="14"/>
                <c:pt idx="0">
                  <c:v>-0.2392495721578598</c:v>
                </c:pt>
                <c:pt idx="1">
                  <c:v>-0.21111249923706055</c:v>
                </c:pt>
                <c:pt idx="2">
                  <c:v>-3.381616622209549E-2</c:v>
                </c:pt>
                <c:pt idx="3">
                  <c:v>-9.1217078268527985E-2</c:v>
                </c:pt>
                <c:pt idx="4">
                  <c:v>-0.1277264803647995</c:v>
                </c:pt>
                <c:pt idx="5">
                  <c:v>-0.11023659259080887</c:v>
                </c:pt>
                <c:pt idx="6">
                  <c:v>-0.14562302827835083</c:v>
                </c:pt>
                <c:pt idx="7">
                  <c:v>-0.1734439879655838</c:v>
                </c:pt>
                <c:pt idx="8">
                  <c:v>-0.21381649374961853</c:v>
                </c:pt>
                <c:pt idx="9">
                  <c:v>-0.20340487360954285</c:v>
                </c:pt>
                <c:pt idx="10">
                  <c:v>-0.20979988574981689</c:v>
                </c:pt>
                <c:pt idx="11">
                  <c:v>-0.23079732060432434</c:v>
                </c:pt>
                <c:pt idx="12">
                  <c:v>-0.23728296160697937</c:v>
                </c:pt>
                <c:pt idx="13">
                  <c:v>-0.22002698481082916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5-4CC4-829B-CF634CD0F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243808"/>
        <c:axId val="398240856"/>
      </c:scatterChart>
      <c:valAx>
        <c:axId val="39824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40856"/>
        <c:crosses val="autoZero"/>
        <c:crossBetween val="midCat"/>
      </c:valAx>
      <c:valAx>
        <c:axId val="39824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4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 between Generosity</a:t>
            </a:r>
            <a:r>
              <a:rPr lang="en-US" baseline="0"/>
              <a:t> and Life Ladder </a:t>
            </a:r>
          </a:p>
          <a:p>
            <a:pPr>
              <a:defRPr/>
            </a:pPr>
            <a:r>
              <a:rPr lang="en-US" baseline="0"/>
              <a:t>in Georgia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'correl,(Generosity_Life lad)'!$C$30:$C$43</c:f>
              <c:numCache>
                <c:formatCode>0.000</c:formatCode>
                <c:ptCount val="14"/>
                <c:pt idx="0">
                  <c:v>3.6751084327697754</c:v>
                </c:pt>
                <c:pt idx="1">
                  <c:v>3.7071945667266846</c:v>
                </c:pt>
                <c:pt idx="2">
                  <c:v>4.156090259552002</c:v>
                </c:pt>
                <c:pt idx="3">
                  <c:v>3.8006391525268555</c:v>
                </c:pt>
                <c:pt idx="4">
                  <c:v>4.101837158203125</c:v>
                </c:pt>
                <c:pt idx="5">
                  <c:v>4.2030305862426758</c:v>
                </c:pt>
                <c:pt idx="6">
                  <c:v>4.2544455528259277</c:v>
                </c:pt>
                <c:pt idx="7">
                  <c:v>4.3489208221435547</c:v>
                </c:pt>
                <c:pt idx="8">
                  <c:v>4.2875080108642578</c:v>
                </c:pt>
                <c:pt idx="9">
                  <c:v>4.1219406127929688</c:v>
                </c:pt>
                <c:pt idx="10">
                  <c:v>4.4483861923217773</c:v>
                </c:pt>
                <c:pt idx="11">
                  <c:v>4.4507746696472168</c:v>
                </c:pt>
                <c:pt idx="12">
                  <c:v>4.6590971946716309</c:v>
                </c:pt>
                <c:pt idx="13">
                  <c:v>4.8918356895446777</c:v>
                </c:pt>
              </c:numCache>
            </c:numRef>
          </c:xVal>
          <c:yVal>
            <c:numRef>
              <c:f>'correl,(Generosity_Life lad)'!$D$30:$D$43</c:f>
              <c:numCache>
                <c:formatCode>0.000</c:formatCode>
                <c:ptCount val="14"/>
                <c:pt idx="0">
                  <c:v>-0.27255910634994507</c:v>
                </c:pt>
                <c:pt idx="1">
                  <c:v>-0.27222028374671936</c:v>
                </c:pt>
                <c:pt idx="2">
                  <c:v>-0.22981572151184082</c:v>
                </c:pt>
                <c:pt idx="3">
                  <c:v>-0.23808903992176056</c:v>
                </c:pt>
                <c:pt idx="4">
                  <c:v>-0.25316470861434937</c:v>
                </c:pt>
                <c:pt idx="5">
                  <c:v>-0.26043832302093506</c:v>
                </c:pt>
                <c:pt idx="6">
                  <c:v>-0.27456489205360413</c:v>
                </c:pt>
                <c:pt idx="7">
                  <c:v>-0.2596762478351593</c:v>
                </c:pt>
                <c:pt idx="8">
                  <c:v>-0.23858177661895752</c:v>
                </c:pt>
                <c:pt idx="9">
                  <c:v>-0.21042811870574951</c:v>
                </c:pt>
                <c:pt idx="10">
                  <c:v>-0.25481438636779785</c:v>
                </c:pt>
                <c:pt idx="11">
                  <c:v>-0.2495434433221817</c:v>
                </c:pt>
                <c:pt idx="12">
                  <c:v>-0.23838350176811218</c:v>
                </c:pt>
                <c:pt idx="13">
                  <c:v>-0.26528984308242798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DD-486E-8E3E-111DF423E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241840"/>
        <c:axId val="398242496"/>
      </c:scatterChart>
      <c:valAx>
        <c:axId val="39824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42496"/>
        <c:crosses val="autoZero"/>
        <c:crossBetween val="midCat"/>
      </c:valAx>
      <c:valAx>
        <c:axId val="39824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24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Correlation</a:t>
            </a:r>
            <a:r>
              <a:rPr lang="en-US" baseline="0"/>
              <a:t> between Generosity and Life Ladder</a:t>
            </a:r>
          </a:p>
          <a:p>
            <a:pPr>
              <a:defRPr/>
            </a:pPr>
            <a:r>
              <a:rPr lang="en-US" baseline="0"/>
              <a:t>in Russia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'correl,(Generosity_Life lad)'!$C$44:$C$57</c:f>
              <c:numCache>
                <c:formatCode>0.000</c:formatCode>
                <c:ptCount val="14"/>
                <c:pt idx="0">
                  <c:v>4.963742733001709</c:v>
                </c:pt>
                <c:pt idx="1">
                  <c:v>5.222867488861084</c:v>
                </c:pt>
                <c:pt idx="2">
                  <c:v>5.6187539100646973</c:v>
                </c:pt>
                <c:pt idx="3">
                  <c:v>5.1582279205322266</c:v>
                </c:pt>
                <c:pt idx="4">
                  <c:v>5.3847732543945313</c:v>
                </c:pt>
                <c:pt idx="5">
                  <c:v>5.3887662887573242</c:v>
                </c:pt>
                <c:pt idx="6">
                  <c:v>5.6207356452941895</c:v>
                </c:pt>
                <c:pt idx="7">
                  <c:v>5.537177562713623</c:v>
                </c:pt>
                <c:pt idx="8">
                  <c:v>6.0369768142700195</c:v>
                </c:pt>
                <c:pt idx="9">
                  <c:v>5.9955387115478516</c:v>
                </c:pt>
                <c:pt idx="10">
                  <c:v>5.8549456596374512</c:v>
                </c:pt>
                <c:pt idx="11">
                  <c:v>5.5787429809570313</c:v>
                </c:pt>
                <c:pt idx="12">
                  <c:v>5.5135002136230469</c:v>
                </c:pt>
                <c:pt idx="13">
                  <c:v>5.440523624420166</c:v>
                </c:pt>
              </c:numCache>
            </c:numRef>
          </c:xVal>
          <c:yVal>
            <c:numRef>
              <c:f>'correl,(Generosity_Life lad)'!$D$44:$D$57</c:f>
              <c:numCache>
                <c:formatCode>0.000</c:formatCode>
                <c:ptCount val="14"/>
                <c:pt idx="0">
                  <c:v>-0.31214404106140137</c:v>
                </c:pt>
                <c:pt idx="1">
                  <c:v>-0.28935009241104126</c:v>
                </c:pt>
                <c:pt idx="2">
                  <c:v>-0.31063604354858398</c:v>
                </c:pt>
                <c:pt idx="3">
                  <c:v>-0.28898179531097412</c:v>
                </c:pt>
                <c:pt idx="4">
                  <c:v>-0.30197861790657043</c:v>
                </c:pt>
                <c:pt idx="5">
                  <c:v>-0.28445571660995483</c:v>
                </c:pt>
                <c:pt idx="6">
                  <c:v>-0.29825288057327271</c:v>
                </c:pt>
                <c:pt idx="7">
                  <c:v>-0.29497125744819641</c:v>
                </c:pt>
                <c:pt idx="8">
                  <c:v>-0.27019765973091125</c:v>
                </c:pt>
                <c:pt idx="9">
                  <c:v>-0.17669197916984558</c:v>
                </c:pt>
                <c:pt idx="10">
                  <c:v>-0.18687869608402252</c:v>
                </c:pt>
                <c:pt idx="11">
                  <c:v>-0.15059798955917358</c:v>
                </c:pt>
                <c:pt idx="12">
                  <c:v>-0.15297549962997437</c:v>
                </c:pt>
                <c:pt idx="13">
                  <c:v>-0.1219959631562233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95-4C47-9E5B-D9B9DB73E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926456"/>
        <c:axId val="429925144"/>
      </c:scatterChart>
      <c:valAx>
        <c:axId val="429926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25144"/>
        <c:crosses val="autoZero"/>
        <c:crossBetween val="midCat"/>
      </c:valAx>
      <c:valAx>
        <c:axId val="42992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26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Armenia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 Healthy life expectancy'!$C$2:$C$15</c:f>
              <c:numCache>
                <c:formatCode>0.000</c:formatCode>
                <c:ptCount val="14"/>
                <c:pt idx="0">
                  <c:v>4.2893109321594238</c:v>
                </c:pt>
                <c:pt idx="1">
                  <c:v>4.8815155029296875</c:v>
                </c:pt>
                <c:pt idx="2">
                  <c:v>4.6519722938537598</c:v>
                </c:pt>
                <c:pt idx="3">
                  <c:v>4.177581787109375</c:v>
                </c:pt>
                <c:pt idx="4">
                  <c:v>4.3678112030029297</c:v>
                </c:pt>
                <c:pt idx="5">
                  <c:v>4.2604913711547852</c:v>
                </c:pt>
                <c:pt idx="6">
                  <c:v>4.3197116851806641</c:v>
                </c:pt>
                <c:pt idx="7">
                  <c:v>4.277191162109375</c:v>
                </c:pt>
                <c:pt idx="8">
                  <c:v>4.4530830383300781</c:v>
                </c:pt>
                <c:pt idx="9">
                  <c:v>4.3483195304870605</c:v>
                </c:pt>
                <c:pt idx="10">
                  <c:v>4.3254718780517578</c:v>
                </c:pt>
                <c:pt idx="11">
                  <c:v>4.2877364158630371</c:v>
                </c:pt>
                <c:pt idx="12">
                  <c:v>5.0624485015869141</c:v>
                </c:pt>
                <c:pt idx="13">
                  <c:v>5.4880867004394531</c:v>
                </c:pt>
              </c:numCache>
            </c:numRef>
          </c:xVal>
          <c:yVal>
            <c:numRef>
              <c:f>'Correl Healthy life expectancy'!$D$2:$D$15</c:f>
              <c:numCache>
                <c:formatCode>0.000</c:formatCode>
                <c:ptCount val="14"/>
                <c:pt idx="0">
                  <c:v>63.840000152587891</c:v>
                </c:pt>
                <c:pt idx="1">
                  <c:v>64.080001831054688</c:v>
                </c:pt>
                <c:pt idx="2">
                  <c:v>64.319999694824219</c:v>
                </c:pt>
                <c:pt idx="3">
                  <c:v>64.55999755859375</c:v>
                </c:pt>
                <c:pt idx="4">
                  <c:v>64.800003051757813</c:v>
                </c:pt>
                <c:pt idx="5">
                  <c:v>65.040000915527344</c:v>
                </c:pt>
                <c:pt idx="6">
                  <c:v>65.279998779296875</c:v>
                </c:pt>
                <c:pt idx="7">
                  <c:v>65.519996643066406</c:v>
                </c:pt>
                <c:pt idx="8">
                  <c:v>65.760002136230469</c:v>
                </c:pt>
                <c:pt idx="9">
                  <c:v>66</c:v>
                </c:pt>
                <c:pt idx="10">
                  <c:v>66.275001525878906</c:v>
                </c:pt>
                <c:pt idx="11">
                  <c:v>66.550003051757813</c:v>
                </c:pt>
                <c:pt idx="12">
                  <c:v>66.824996948242188</c:v>
                </c:pt>
                <c:pt idx="13">
                  <c:v>67.099998474121094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BE-4490-AE08-20BED74D6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452879"/>
        <c:axId val="880457199"/>
      </c:scatterChart>
      <c:valAx>
        <c:axId val="88045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57199"/>
        <c:crosses val="autoZero"/>
        <c:crossBetween val="midCat"/>
      </c:valAx>
      <c:valAx>
        <c:axId val="88045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45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Azerbaijan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 Healthy life expectancy'!$C$16:$C$29</c:f>
              <c:numCache>
                <c:formatCode>0.000</c:formatCode>
                <c:ptCount val="14"/>
                <c:pt idx="0">
                  <c:v>4.7278709411621094</c:v>
                </c:pt>
                <c:pt idx="1">
                  <c:v>4.5681595802307129</c:v>
                </c:pt>
                <c:pt idx="2">
                  <c:v>4.8171892166137695</c:v>
                </c:pt>
                <c:pt idx="3">
                  <c:v>4.5737252235412598</c:v>
                </c:pt>
                <c:pt idx="4">
                  <c:v>4.2186107635498047</c:v>
                </c:pt>
                <c:pt idx="5">
                  <c:v>4.6804695129394531</c:v>
                </c:pt>
                <c:pt idx="6">
                  <c:v>4.9107718467712402</c:v>
                </c:pt>
                <c:pt idx="7">
                  <c:v>5.4811782836914063</c:v>
                </c:pt>
                <c:pt idx="8">
                  <c:v>5.2515301704406738</c:v>
                </c:pt>
                <c:pt idx="9">
                  <c:v>5.1467747688293457</c:v>
                </c:pt>
                <c:pt idx="10">
                  <c:v>5.3038949966430664</c:v>
                </c:pt>
                <c:pt idx="11">
                  <c:v>5.1522793769836426</c:v>
                </c:pt>
                <c:pt idx="12">
                  <c:v>5.1679954528808594</c:v>
                </c:pt>
                <c:pt idx="13">
                  <c:v>5.1733894348144531</c:v>
                </c:pt>
              </c:numCache>
            </c:numRef>
          </c:xVal>
          <c:yVal>
            <c:numRef>
              <c:f>'Correl Healthy life expectancy'!$D$16:$D$29</c:f>
              <c:numCache>
                <c:formatCode>0.000</c:formatCode>
                <c:ptCount val="14"/>
                <c:pt idx="0">
                  <c:v>60.580001831054688</c:v>
                </c:pt>
                <c:pt idx="1">
                  <c:v>60.860000610351563</c:v>
                </c:pt>
                <c:pt idx="2">
                  <c:v>61.139999389648438</c:v>
                </c:pt>
                <c:pt idx="3">
                  <c:v>61.419998168945313</c:v>
                </c:pt>
                <c:pt idx="4">
                  <c:v>61.700000762939453</c:v>
                </c:pt>
                <c:pt idx="5">
                  <c:v>61.979999542236328</c:v>
                </c:pt>
                <c:pt idx="6">
                  <c:v>62.259998321533203</c:v>
                </c:pt>
                <c:pt idx="7">
                  <c:v>62.540000915527344</c:v>
                </c:pt>
                <c:pt idx="8">
                  <c:v>62.819999694824219</c:v>
                </c:pt>
                <c:pt idx="9">
                  <c:v>63.099998474121094</c:v>
                </c:pt>
                <c:pt idx="10">
                  <c:v>63.224998474121094</c:v>
                </c:pt>
                <c:pt idx="11">
                  <c:v>63.349998474121094</c:v>
                </c:pt>
                <c:pt idx="12">
                  <c:v>63.474998474121094</c:v>
                </c:pt>
                <c:pt idx="13">
                  <c:v>63.599998474121094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AD-4CC3-9681-51ED98937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031360"/>
        <c:axId val="390817295"/>
      </c:scatterChart>
      <c:valAx>
        <c:axId val="97203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17295"/>
        <c:crosses val="autoZero"/>
        <c:crossBetween val="midCat"/>
      </c:valAx>
      <c:valAx>
        <c:axId val="39081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3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Georgia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 Healthy life expectancy'!$C$30:$C$43</c:f>
              <c:numCache>
                <c:formatCode>0.000</c:formatCode>
                <c:ptCount val="14"/>
                <c:pt idx="0">
                  <c:v>3.6751084327697754</c:v>
                </c:pt>
                <c:pt idx="1">
                  <c:v>3.7071945667266846</c:v>
                </c:pt>
                <c:pt idx="2">
                  <c:v>4.156090259552002</c:v>
                </c:pt>
                <c:pt idx="3">
                  <c:v>3.8006391525268555</c:v>
                </c:pt>
                <c:pt idx="4">
                  <c:v>4.101837158203125</c:v>
                </c:pt>
                <c:pt idx="5">
                  <c:v>4.2030305862426758</c:v>
                </c:pt>
                <c:pt idx="6">
                  <c:v>4.2544455528259277</c:v>
                </c:pt>
                <c:pt idx="7">
                  <c:v>4.3489208221435547</c:v>
                </c:pt>
                <c:pt idx="8">
                  <c:v>4.2875080108642578</c:v>
                </c:pt>
                <c:pt idx="9">
                  <c:v>4.1219406127929688</c:v>
                </c:pt>
                <c:pt idx="10">
                  <c:v>4.4483861923217773</c:v>
                </c:pt>
                <c:pt idx="11">
                  <c:v>4.4507746696472168</c:v>
                </c:pt>
                <c:pt idx="12">
                  <c:v>4.6590971946716309</c:v>
                </c:pt>
                <c:pt idx="13">
                  <c:v>4.8918356895446777</c:v>
                </c:pt>
              </c:numCache>
            </c:numRef>
          </c:xVal>
          <c:yVal>
            <c:numRef>
              <c:f>'Correl Healthy life expectancy'!$D$30:$D$43</c:f>
              <c:numCache>
                <c:formatCode>0.000</c:formatCode>
                <c:ptCount val="14"/>
                <c:pt idx="0">
                  <c:v>63.299999237060547</c:v>
                </c:pt>
                <c:pt idx="1">
                  <c:v>63.400001525878906</c:v>
                </c:pt>
                <c:pt idx="2">
                  <c:v>63.5</c:v>
                </c:pt>
                <c:pt idx="3">
                  <c:v>63.599998474121094</c:v>
                </c:pt>
                <c:pt idx="4">
                  <c:v>63.700000762939453</c:v>
                </c:pt>
                <c:pt idx="5">
                  <c:v>63.799999237060547</c:v>
                </c:pt>
                <c:pt idx="6">
                  <c:v>63.900001525878906</c:v>
                </c:pt>
                <c:pt idx="7">
                  <c:v>64</c:v>
                </c:pt>
                <c:pt idx="8">
                  <c:v>64.099998474121094</c:v>
                </c:pt>
                <c:pt idx="9">
                  <c:v>64.199996948242188</c:v>
                </c:pt>
                <c:pt idx="10">
                  <c:v>64.324996948242188</c:v>
                </c:pt>
                <c:pt idx="11">
                  <c:v>64.449996948242188</c:v>
                </c:pt>
                <c:pt idx="12">
                  <c:v>64.574996948242188</c:v>
                </c:pt>
                <c:pt idx="13">
                  <c:v>64.699996948242188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19-4363-A0C1-506FCBA1B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382095"/>
        <c:axId val="775384975"/>
      </c:scatterChart>
      <c:valAx>
        <c:axId val="77538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84975"/>
        <c:crosses val="autoZero"/>
        <c:crossBetween val="midCat"/>
      </c:valAx>
      <c:valAx>
        <c:axId val="77538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82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 Healthy life expectancy'!$C$44:$C$57</c:f>
              <c:numCache>
                <c:formatCode>0.000</c:formatCode>
                <c:ptCount val="14"/>
                <c:pt idx="0">
                  <c:v>4.963742733001709</c:v>
                </c:pt>
                <c:pt idx="1">
                  <c:v>5.222867488861084</c:v>
                </c:pt>
                <c:pt idx="2">
                  <c:v>5.6187539100646973</c:v>
                </c:pt>
                <c:pt idx="3">
                  <c:v>5.1582279205322266</c:v>
                </c:pt>
                <c:pt idx="4">
                  <c:v>5.3847732543945313</c:v>
                </c:pt>
                <c:pt idx="5">
                  <c:v>5.3887662887573242</c:v>
                </c:pt>
                <c:pt idx="6">
                  <c:v>5.6207356452941895</c:v>
                </c:pt>
                <c:pt idx="7">
                  <c:v>5.537177562713623</c:v>
                </c:pt>
                <c:pt idx="8">
                  <c:v>6.0369768142700195</c:v>
                </c:pt>
                <c:pt idx="9">
                  <c:v>5.9955387115478516</c:v>
                </c:pt>
                <c:pt idx="10">
                  <c:v>5.8549456596374512</c:v>
                </c:pt>
                <c:pt idx="11">
                  <c:v>5.5787429809570313</c:v>
                </c:pt>
                <c:pt idx="12">
                  <c:v>5.5135002136230469</c:v>
                </c:pt>
                <c:pt idx="13">
                  <c:v>5.440523624420166</c:v>
                </c:pt>
              </c:numCache>
            </c:numRef>
          </c:xVal>
          <c:yVal>
            <c:numRef>
              <c:f>'Correl Healthy life expectancy'!$D$44:$D$57</c:f>
              <c:numCache>
                <c:formatCode>0.000</c:formatCode>
                <c:ptCount val="14"/>
                <c:pt idx="0">
                  <c:v>58.740001678466797</c:v>
                </c:pt>
                <c:pt idx="1">
                  <c:v>59.180000305175781</c:v>
                </c:pt>
                <c:pt idx="2">
                  <c:v>59.619998931884766</c:v>
                </c:pt>
                <c:pt idx="3">
                  <c:v>60.060001373291016</c:v>
                </c:pt>
                <c:pt idx="4">
                  <c:v>60.5</c:v>
                </c:pt>
                <c:pt idx="5">
                  <c:v>60.939998626708984</c:v>
                </c:pt>
                <c:pt idx="6">
                  <c:v>61.380001068115234</c:v>
                </c:pt>
                <c:pt idx="7">
                  <c:v>61.819999694824219</c:v>
                </c:pt>
                <c:pt idx="8">
                  <c:v>62.259998321533203</c:v>
                </c:pt>
                <c:pt idx="9">
                  <c:v>62.700000762939453</c:v>
                </c:pt>
                <c:pt idx="10">
                  <c:v>63.075000762939453</c:v>
                </c:pt>
                <c:pt idx="11">
                  <c:v>63.450000762939453</c:v>
                </c:pt>
                <c:pt idx="12">
                  <c:v>63.825000762939453</c:v>
                </c:pt>
                <c:pt idx="13">
                  <c:v>64.199996948242188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E0-4D43-8576-CE9113BCE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758175"/>
        <c:axId val="775759135"/>
      </c:scatterChart>
      <c:valAx>
        <c:axId val="77575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759135"/>
        <c:crosses val="autoZero"/>
        <c:crossBetween val="midCat"/>
      </c:valAx>
      <c:valAx>
        <c:axId val="77575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75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 Healthy life expectancy'!$D$1</c:f>
              <c:strCache>
                <c:ptCount val="1"/>
                <c:pt idx="0">
                  <c:v>Healthy life expectancy at birth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'Correl Healthy life expectancy'!$C$2:$C$79</c:f>
              <c:numCache>
                <c:formatCode>0.000</c:formatCode>
                <c:ptCount val="78"/>
                <c:pt idx="0">
                  <c:v>4.2893109321594238</c:v>
                </c:pt>
                <c:pt idx="1">
                  <c:v>4.8815155029296875</c:v>
                </c:pt>
                <c:pt idx="2">
                  <c:v>4.6519722938537598</c:v>
                </c:pt>
                <c:pt idx="3">
                  <c:v>4.177581787109375</c:v>
                </c:pt>
                <c:pt idx="4">
                  <c:v>4.3678112030029297</c:v>
                </c:pt>
                <c:pt idx="5">
                  <c:v>4.2604913711547852</c:v>
                </c:pt>
                <c:pt idx="6">
                  <c:v>4.3197116851806641</c:v>
                </c:pt>
                <c:pt idx="7">
                  <c:v>4.277191162109375</c:v>
                </c:pt>
                <c:pt idx="8">
                  <c:v>4.4530830383300781</c:v>
                </c:pt>
                <c:pt idx="9">
                  <c:v>4.3483195304870605</c:v>
                </c:pt>
                <c:pt idx="10">
                  <c:v>4.3254718780517578</c:v>
                </c:pt>
                <c:pt idx="11">
                  <c:v>4.2877364158630371</c:v>
                </c:pt>
                <c:pt idx="12">
                  <c:v>5.0624485015869141</c:v>
                </c:pt>
                <c:pt idx="13">
                  <c:v>5.4880867004394531</c:v>
                </c:pt>
                <c:pt idx="14">
                  <c:v>4.7278709411621094</c:v>
                </c:pt>
                <c:pt idx="15">
                  <c:v>4.5681595802307129</c:v>
                </c:pt>
                <c:pt idx="16">
                  <c:v>4.8171892166137695</c:v>
                </c:pt>
                <c:pt idx="17">
                  <c:v>4.5737252235412598</c:v>
                </c:pt>
                <c:pt idx="18">
                  <c:v>4.2186107635498047</c:v>
                </c:pt>
                <c:pt idx="19">
                  <c:v>4.6804695129394531</c:v>
                </c:pt>
                <c:pt idx="20">
                  <c:v>4.9107718467712402</c:v>
                </c:pt>
                <c:pt idx="21">
                  <c:v>5.4811782836914063</c:v>
                </c:pt>
                <c:pt idx="22">
                  <c:v>5.2515301704406738</c:v>
                </c:pt>
                <c:pt idx="23">
                  <c:v>5.1467747688293457</c:v>
                </c:pt>
                <c:pt idx="24">
                  <c:v>5.3038949966430664</c:v>
                </c:pt>
                <c:pt idx="25">
                  <c:v>5.1522793769836426</c:v>
                </c:pt>
                <c:pt idx="26">
                  <c:v>5.1679954528808594</c:v>
                </c:pt>
                <c:pt idx="27">
                  <c:v>5.1733894348144531</c:v>
                </c:pt>
                <c:pt idx="28">
                  <c:v>3.6751084327697754</c:v>
                </c:pt>
                <c:pt idx="29">
                  <c:v>3.7071945667266846</c:v>
                </c:pt>
                <c:pt idx="30">
                  <c:v>4.156090259552002</c:v>
                </c:pt>
                <c:pt idx="31">
                  <c:v>3.8006391525268555</c:v>
                </c:pt>
                <c:pt idx="32">
                  <c:v>4.101837158203125</c:v>
                </c:pt>
                <c:pt idx="33">
                  <c:v>4.2030305862426758</c:v>
                </c:pt>
                <c:pt idx="34">
                  <c:v>4.2544455528259277</c:v>
                </c:pt>
                <c:pt idx="35">
                  <c:v>4.3489208221435547</c:v>
                </c:pt>
                <c:pt idx="36">
                  <c:v>4.2875080108642578</c:v>
                </c:pt>
                <c:pt idx="37">
                  <c:v>4.1219406127929688</c:v>
                </c:pt>
                <c:pt idx="38">
                  <c:v>4.4483861923217773</c:v>
                </c:pt>
                <c:pt idx="39">
                  <c:v>4.4507746696472168</c:v>
                </c:pt>
                <c:pt idx="40">
                  <c:v>4.6590971946716309</c:v>
                </c:pt>
                <c:pt idx="41">
                  <c:v>4.8918356895446777</c:v>
                </c:pt>
                <c:pt idx="42">
                  <c:v>4.963742733001709</c:v>
                </c:pt>
                <c:pt idx="43">
                  <c:v>5.222867488861084</c:v>
                </c:pt>
                <c:pt idx="44">
                  <c:v>5.6187539100646973</c:v>
                </c:pt>
                <c:pt idx="45">
                  <c:v>5.1582279205322266</c:v>
                </c:pt>
                <c:pt idx="46">
                  <c:v>5.3847732543945313</c:v>
                </c:pt>
                <c:pt idx="47">
                  <c:v>5.3887662887573242</c:v>
                </c:pt>
                <c:pt idx="48">
                  <c:v>5.6207356452941895</c:v>
                </c:pt>
                <c:pt idx="49">
                  <c:v>5.537177562713623</c:v>
                </c:pt>
                <c:pt idx="50">
                  <c:v>6.0369768142700195</c:v>
                </c:pt>
                <c:pt idx="51">
                  <c:v>5.9955387115478516</c:v>
                </c:pt>
                <c:pt idx="52">
                  <c:v>5.8549456596374512</c:v>
                </c:pt>
                <c:pt idx="53">
                  <c:v>5.5787429809570313</c:v>
                </c:pt>
                <c:pt idx="54">
                  <c:v>5.5135002136230469</c:v>
                </c:pt>
                <c:pt idx="55">
                  <c:v>5.440523624420166</c:v>
                </c:pt>
              </c:numCache>
            </c:numRef>
          </c:xVal>
          <c:yVal>
            <c:numRef>
              <c:f>'Correl Healthy life expectancy'!$D$2:$D$79</c:f>
              <c:numCache>
                <c:formatCode>0.000</c:formatCode>
                <c:ptCount val="78"/>
                <c:pt idx="0">
                  <c:v>63.840000152587891</c:v>
                </c:pt>
                <c:pt idx="1">
                  <c:v>64.080001831054688</c:v>
                </c:pt>
                <c:pt idx="2">
                  <c:v>64.319999694824219</c:v>
                </c:pt>
                <c:pt idx="3">
                  <c:v>64.55999755859375</c:v>
                </c:pt>
                <c:pt idx="4">
                  <c:v>64.800003051757813</c:v>
                </c:pt>
                <c:pt idx="5">
                  <c:v>65.040000915527344</c:v>
                </c:pt>
                <c:pt idx="6">
                  <c:v>65.279998779296875</c:v>
                </c:pt>
                <c:pt idx="7">
                  <c:v>65.519996643066406</c:v>
                </c:pt>
                <c:pt idx="8">
                  <c:v>65.760002136230469</c:v>
                </c:pt>
                <c:pt idx="9">
                  <c:v>66</c:v>
                </c:pt>
                <c:pt idx="10">
                  <c:v>66.275001525878906</c:v>
                </c:pt>
                <c:pt idx="11">
                  <c:v>66.550003051757813</c:v>
                </c:pt>
                <c:pt idx="12">
                  <c:v>66.824996948242188</c:v>
                </c:pt>
                <c:pt idx="13">
                  <c:v>67.099998474121094</c:v>
                </c:pt>
                <c:pt idx="14">
                  <c:v>60.580001831054688</c:v>
                </c:pt>
                <c:pt idx="15">
                  <c:v>60.860000610351563</c:v>
                </c:pt>
                <c:pt idx="16">
                  <c:v>61.139999389648438</c:v>
                </c:pt>
                <c:pt idx="17">
                  <c:v>61.419998168945313</c:v>
                </c:pt>
                <c:pt idx="18">
                  <c:v>61.700000762939453</c:v>
                </c:pt>
                <c:pt idx="19">
                  <c:v>61.979999542236328</c:v>
                </c:pt>
                <c:pt idx="20">
                  <c:v>62.259998321533203</c:v>
                </c:pt>
                <c:pt idx="21">
                  <c:v>62.540000915527344</c:v>
                </c:pt>
                <c:pt idx="22">
                  <c:v>62.819999694824219</c:v>
                </c:pt>
                <c:pt idx="23">
                  <c:v>63.099998474121094</c:v>
                </c:pt>
                <c:pt idx="24">
                  <c:v>63.224998474121094</c:v>
                </c:pt>
                <c:pt idx="25">
                  <c:v>63.349998474121094</c:v>
                </c:pt>
                <c:pt idx="26">
                  <c:v>63.474998474121094</c:v>
                </c:pt>
                <c:pt idx="27">
                  <c:v>63.599998474121094</c:v>
                </c:pt>
                <c:pt idx="28">
                  <c:v>63.299999237060547</c:v>
                </c:pt>
                <c:pt idx="29">
                  <c:v>63.400001525878906</c:v>
                </c:pt>
                <c:pt idx="30">
                  <c:v>63.5</c:v>
                </c:pt>
                <c:pt idx="31">
                  <c:v>63.599998474121094</c:v>
                </c:pt>
                <c:pt idx="32">
                  <c:v>63.700000762939453</c:v>
                </c:pt>
                <c:pt idx="33">
                  <c:v>63.799999237060547</c:v>
                </c:pt>
                <c:pt idx="34">
                  <c:v>63.900001525878906</c:v>
                </c:pt>
                <c:pt idx="35">
                  <c:v>64</c:v>
                </c:pt>
                <c:pt idx="36">
                  <c:v>64.099998474121094</c:v>
                </c:pt>
                <c:pt idx="37">
                  <c:v>64.199996948242188</c:v>
                </c:pt>
                <c:pt idx="38">
                  <c:v>64.324996948242188</c:v>
                </c:pt>
                <c:pt idx="39">
                  <c:v>64.449996948242188</c:v>
                </c:pt>
                <c:pt idx="40">
                  <c:v>64.574996948242188</c:v>
                </c:pt>
                <c:pt idx="41">
                  <c:v>64.699996948242188</c:v>
                </c:pt>
                <c:pt idx="42">
                  <c:v>58.740001678466797</c:v>
                </c:pt>
                <c:pt idx="43">
                  <c:v>59.180000305175781</c:v>
                </c:pt>
                <c:pt idx="44">
                  <c:v>59.619998931884766</c:v>
                </c:pt>
                <c:pt idx="45">
                  <c:v>60.060001373291016</c:v>
                </c:pt>
                <c:pt idx="46">
                  <c:v>60.5</c:v>
                </c:pt>
                <c:pt idx="47">
                  <c:v>60.939998626708984</c:v>
                </c:pt>
                <c:pt idx="48">
                  <c:v>61.380001068115234</c:v>
                </c:pt>
                <c:pt idx="49">
                  <c:v>61.819999694824219</c:v>
                </c:pt>
                <c:pt idx="50">
                  <c:v>62.259998321533203</c:v>
                </c:pt>
                <c:pt idx="51">
                  <c:v>62.700000762939453</c:v>
                </c:pt>
                <c:pt idx="52">
                  <c:v>63.075000762939453</c:v>
                </c:pt>
                <c:pt idx="53">
                  <c:v>63.450000762939453</c:v>
                </c:pt>
                <c:pt idx="54">
                  <c:v>63.825000762939453</c:v>
                </c:pt>
                <c:pt idx="55">
                  <c:v>64.199996948242188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B5-49F7-826B-9CD026CD9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682799"/>
        <c:axId val="767248719"/>
      </c:scatterChart>
      <c:valAx>
        <c:axId val="88268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48719"/>
        <c:crosses val="autoZero"/>
        <c:crossBetween val="midCat"/>
      </c:valAx>
      <c:valAx>
        <c:axId val="7672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68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557212</xdr:colOff>
      <xdr:row>37</xdr:row>
      <xdr:rowOff>185737</xdr:rowOff>
    </xdr:from>
    <xdr:to>
      <xdr:col>28</xdr:col>
      <xdr:colOff>252412</xdr:colOff>
      <xdr:row>52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BD931A-5F74-CDC6-8BF3-111F767C7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590550</xdr:colOff>
      <xdr:row>38</xdr:row>
      <xdr:rowOff>14287</xdr:rowOff>
    </xdr:from>
    <xdr:to>
      <xdr:col>20</xdr:col>
      <xdr:colOff>285750</xdr:colOff>
      <xdr:row>52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CDFD91-3EF7-27BE-82B6-BBD0E8E2F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155510</xdr:colOff>
      <xdr:row>35</xdr:row>
      <xdr:rowOff>53164</xdr:rowOff>
    </xdr:from>
    <xdr:to>
      <xdr:col>39</xdr:col>
      <xdr:colOff>155510</xdr:colOff>
      <xdr:row>53</xdr:row>
      <xdr:rowOff>153176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485E11-87B4-8529-71D9-7D3E29A00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603250</xdr:colOff>
      <xdr:row>19</xdr:row>
      <xdr:rowOff>33337</xdr:rowOff>
    </xdr:from>
    <xdr:to>
      <xdr:col>39</xdr:col>
      <xdr:colOff>317500</xdr:colOff>
      <xdr:row>33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73FF7C-0580-26F3-7AE9-D106B0003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365125</xdr:colOff>
      <xdr:row>1</xdr:row>
      <xdr:rowOff>128587</xdr:rowOff>
    </xdr:from>
    <xdr:to>
      <xdr:col>42</xdr:col>
      <xdr:colOff>111125</xdr:colOff>
      <xdr:row>16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60B3FA-134B-EC73-E9BF-54953EB5F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539750</xdr:colOff>
      <xdr:row>19</xdr:row>
      <xdr:rowOff>65087</xdr:rowOff>
    </xdr:from>
    <xdr:to>
      <xdr:col>30</xdr:col>
      <xdr:colOff>587375</xdr:colOff>
      <xdr:row>33</xdr:row>
      <xdr:rowOff>141287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098ECF-FB41-36A2-7B6C-CF63E0CB8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430967</xdr:colOff>
      <xdr:row>10</xdr:row>
      <xdr:rowOff>46845</xdr:rowOff>
    </xdr:from>
    <xdr:to>
      <xdr:col>12</xdr:col>
      <xdr:colOff>156146</xdr:colOff>
      <xdr:row>26</xdr:row>
      <xdr:rowOff>52152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C28660-CFCE-8149-6CE8-9F8B01FB8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407274</xdr:colOff>
      <xdr:row>27</xdr:row>
      <xdr:rowOff>49267</xdr:rowOff>
    </xdr:from>
    <xdr:to>
      <xdr:col>12</xdr:col>
      <xdr:colOff>114955</xdr:colOff>
      <xdr:row>43</xdr:row>
      <xdr:rowOff>49594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CB4362-BAF4-84DE-0DCB-F42611526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440122</xdr:colOff>
      <xdr:row>45</xdr:row>
      <xdr:rowOff>131380</xdr:rowOff>
    </xdr:from>
    <xdr:to>
      <xdr:col>12</xdr:col>
      <xdr:colOff>16422</xdr:colOff>
      <xdr:row>60</xdr:row>
      <xdr:rowOff>98862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B26721B-7E7A-D965-04F2-D2DA845DA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164814</xdr:colOff>
      <xdr:row>55</xdr:row>
      <xdr:rowOff>14338</xdr:rowOff>
    </xdr:from>
    <xdr:to>
      <xdr:col>18</xdr:col>
      <xdr:colOff>466531</xdr:colOff>
      <xdr:row>70</xdr:row>
      <xdr:rowOff>96320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5759B0D-ECF7-BC4A-6DD6-6628252B9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467318</xdr:colOff>
      <xdr:row>62</xdr:row>
      <xdr:rowOff>163373</xdr:rowOff>
    </xdr:from>
    <xdr:to>
      <xdr:col>11</xdr:col>
      <xdr:colOff>537953</xdr:colOff>
      <xdr:row>78</xdr:row>
      <xdr:rowOff>106223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BF0B536-7964-09BA-EC7E-F26CE0004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7775</xdr:colOff>
      <xdr:row>55</xdr:row>
      <xdr:rowOff>97193</xdr:rowOff>
    </xdr:from>
    <xdr:to>
      <xdr:col>39</xdr:col>
      <xdr:colOff>136071</xdr:colOff>
      <xdr:row>76</xdr:row>
      <xdr:rowOff>77755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A57EC83-400A-F120-4F32-C4EE12C39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153562</xdr:colOff>
      <xdr:row>54</xdr:row>
      <xdr:rowOff>116633</xdr:rowOff>
    </xdr:from>
    <xdr:to>
      <xdr:col>28</xdr:col>
      <xdr:colOff>369335</xdr:colOff>
      <xdr:row>76</xdr:row>
      <xdr:rowOff>1165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2BD84E0-6ECA-14B6-505C-C09F2DD61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167055</xdr:rowOff>
    </xdr:from>
    <xdr:to>
      <xdr:col>5</xdr:col>
      <xdr:colOff>655934</xdr:colOff>
      <xdr:row>33</xdr:row>
      <xdr:rowOff>119046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3345C-00CC-46FC-A534-ED6CC4A96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6279</xdr:colOff>
      <xdr:row>17</xdr:row>
      <xdr:rowOff>167057</xdr:rowOff>
    </xdr:from>
    <xdr:to>
      <xdr:col>13</xdr:col>
      <xdr:colOff>20820</xdr:colOff>
      <xdr:row>33</xdr:row>
      <xdr:rowOff>119048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871701-AC4A-4556-8146-2E67E8876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1602</xdr:colOff>
      <xdr:row>17</xdr:row>
      <xdr:rowOff>156264</xdr:rowOff>
    </xdr:from>
    <xdr:to>
      <xdr:col>20</xdr:col>
      <xdr:colOff>0</xdr:colOff>
      <xdr:row>33</xdr:row>
      <xdr:rowOff>104098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0EB3D1-1321-4C46-9C4F-8AFF22001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450850</xdr:colOff>
      <xdr:row>22</xdr:row>
      <xdr:rowOff>107950</xdr:rowOff>
    </xdr:from>
    <xdr:to>
      <xdr:col>6</xdr:col>
      <xdr:colOff>69850</xdr:colOff>
      <xdr:row>36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AA756-C2E7-41F4-BC1C-398DE304D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476250</xdr:colOff>
      <xdr:row>22</xdr:row>
      <xdr:rowOff>133350</xdr:rowOff>
    </xdr:from>
    <xdr:to>
      <xdr:col>14</xdr:col>
      <xdr:colOff>95250</xdr:colOff>
      <xdr:row>36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48E5D-6BF7-40D6-ACD3-4192C7200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577850</xdr:colOff>
      <xdr:row>6</xdr:row>
      <xdr:rowOff>82550</xdr:rowOff>
    </xdr:from>
    <xdr:to>
      <xdr:col>21</xdr:col>
      <xdr:colOff>196850</xdr:colOff>
      <xdr:row>19</xdr:row>
      <xdr:rowOff>184150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AEB79D-3697-4AE8-BD44-E3D71AF5B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1</xdr:row>
      <xdr:rowOff>190500</xdr:rowOff>
    </xdr:from>
    <xdr:to>
      <xdr:col>13</xdr:col>
      <xdr:colOff>571500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2BAE9-E470-44F4-8258-E7C0A5C0E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590551</xdr:colOff>
      <xdr:row>22</xdr:row>
      <xdr:rowOff>0</xdr:rowOff>
    </xdr:from>
    <xdr:to>
      <xdr:col>13</xdr:col>
      <xdr:colOff>19051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45C6A0-9996-4FBA-81E7-95F338B77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604837</xdr:colOff>
      <xdr:row>28</xdr:row>
      <xdr:rowOff>9525</xdr:rowOff>
    </xdr:from>
    <xdr:to>
      <xdr:col>21</xdr:col>
      <xdr:colOff>0</xdr:colOff>
      <xdr:row>42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2B2DD9-0A0E-4952-B21A-3525259DF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80210</xdr:colOff>
      <xdr:row>19</xdr:row>
      <xdr:rowOff>147054</xdr:rowOff>
    </xdr:from>
    <xdr:to>
      <xdr:col>10</xdr:col>
      <xdr:colOff>93579</xdr:colOff>
      <xdr:row>21</xdr:row>
      <xdr:rowOff>33422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938E09-C49C-499E-8B4E-EDD9D32315E2}"/>
            </a:ext>
          </a:extLst>
        </xdr:cNvPr>
        <xdr:cNvSpPr txBox="1"/>
      </xdr:nvSpPr>
      <xdr:spPr>
        <a:xfrm>
          <a:off x="1909010" y="3766554"/>
          <a:ext cx="4280569" cy="26736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                                                                            COLLARATION</a:t>
          </a:r>
        </a:p>
      </xdr:txBody>
    </xdr:sp>
    <xdr:clientData/>
  </xdr:twoCellAnchor>
  <xdr:twoCellAnchor>
    <xdr:from>
      <xdr:col>8</xdr:col>
      <xdr:colOff>1444</xdr:colOff>
      <xdr:row>24</xdr:row>
      <xdr:rowOff>187036</xdr:rowOff>
    </xdr:from>
    <xdr:to>
      <xdr:col>14</xdr:col>
      <xdr:colOff>510887</xdr:colOff>
      <xdr:row>39</xdr:row>
      <xdr:rowOff>116031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CBCA07-2457-48E0-B8F2-CC61B6BD1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8660</xdr:colOff>
      <xdr:row>41</xdr:row>
      <xdr:rowOff>179821</xdr:rowOff>
    </xdr:from>
    <xdr:to>
      <xdr:col>14</xdr:col>
      <xdr:colOff>518103</xdr:colOff>
      <xdr:row>56</xdr:row>
      <xdr:rowOff>108816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9DFE29-FF77-42E8-AF5F-42064F0F9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8659</xdr:colOff>
      <xdr:row>59</xdr:row>
      <xdr:rowOff>13854</xdr:rowOff>
    </xdr:from>
    <xdr:to>
      <xdr:col>14</xdr:col>
      <xdr:colOff>518102</xdr:colOff>
      <xdr:row>73</xdr:row>
      <xdr:rowOff>130464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43A731-30B5-4D66-882A-0A91E2421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37524</xdr:colOff>
      <xdr:row>76</xdr:row>
      <xdr:rowOff>187037</xdr:rowOff>
    </xdr:from>
    <xdr:to>
      <xdr:col>14</xdr:col>
      <xdr:colOff>546967</xdr:colOff>
      <xdr:row>91</xdr:row>
      <xdr:rowOff>116032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5EE810-93A0-4A28-A274-0320F7E2A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227759</xdr:colOff>
      <xdr:row>2</xdr:row>
      <xdr:rowOff>174812</xdr:rowOff>
    </xdr:from>
    <xdr:to>
      <xdr:col>11</xdr:col>
      <xdr:colOff>263617</xdr:colOff>
      <xdr:row>18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129F3C-C188-4436-A5FF-EF16E79CF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392206</xdr:colOff>
      <xdr:row>2</xdr:row>
      <xdr:rowOff>85165</xdr:rowOff>
    </xdr:from>
    <xdr:to>
      <xdr:col>25</xdr:col>
      <xdr:colOff>67237</xdr:colOff>
      <xdr:row>18</xdr:row>
      <xdr:rowOff>145676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B27DD6-5DEC-406F-A064-475F48933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67236</xdr:colOff>
      <xdr:row>8</xdr:row>
      <xdr:rowOff>17929</xdr:rowOff>
    </xdr:from>
    <xdr:to>
      <xdr:col>32</xdr:col>
      <xdr:colOff>537883</xdr:colOff>
      <xdr:row>23</xdr:row>
      <xdr:rowOff>71718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A3D87B9-D815-4BAD-844C-F247F2445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19050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BB8EB-442D-43AC-9EEB-C3EB37E62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7</xdr:row>
      <xdr:rowOff>88900</xdr:rowOff>
    </xdr:from>
    <xdr:to>
      <xdr:col>8</xdr:col>
      <xdr:colOff>469900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33E76-36AE-4A7E-9963-E0029B100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273050</xdr:colOff>
      <xdr:row>7</xdr:row>
      <xdr:rowOff>82550</xdr:rowOff>
    </xdr:from>
    <xdr:to>
      <xdr:col>13</xdr:col>
      <xdr:colOff>311150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D81154-AED1-482B-A6EF-C119842B6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241300</xdr:colOff>
      <xdr:row>26</xdr:row>
      <xdr:rowOff>12700</xdr:rowOff>
    </xdr:from>
    <xdr:to>
      <xdr:col>8</xdr:col>
      <xdr:colOff>539750</xdr:colOff>
      <xdr:row>37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409899-0196-467F-AA3C-27EBCCD7D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241300</xdr:colOff>
      <xdr:row>26</xdr:row>
      <xdr:rowOff>6350</xdr:rowOff>
    </xdr:from>
    <xdr:to>
      <xdr:col>13</xdr:col>
      <xdr:colOff>342900</xdr:colOff>
      <xdr:row>37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EF545B-E7E3-407C-B806-A53D13D27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247650</xdr:colOff>
      <xdr:row>42</xdr:row>
      <xdr:rowOff>95250</xdr:rowOff>
    </xdr:from>
    <xdr:to>
      <xdr:col>8</xdr:col>
      <xdr:colOff>546100</xdr:colOff>
      <xdr:row>54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297C25-8CD7-4CDF-B25C-177E92786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9524</xdr:rowOff>
    </xdr:from>
    <xdr:to>
      <xdr:col>12</xdr:col>
      <xdr:colOff>9525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89D2A-D0AA-4712-ACA2-84E143553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600075</xdr:colOff>
      <xdr:row>16</xdr:row>
      <xdr:rowOff>9524</xdr:rowOff>
    </xdr:from>
    <xdr:to>
      <xdr:col>12</xdr:col>
      <xdr:colOff>0</xdr:colOff>
      <xdr:row>30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18E6EF-F25D-4A3F-8739-6FD3BE52B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609599</xdr:colOff>
      <xdr:row>32</xdr:row>
      <xdr:rowOff>38100</xdr:rowOff>
    </xdr:from>
    <xdr:to>
      <xdr:col>12</xdr:col>
      <xdr:colOff>0</xdr:colOff>
      <xdr:row>47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51D521-4C1F-4093-8EFA-C195A3B37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9524</xdr:colOff>
      <xdr:row>1</xdr:row>
      <xdr:rowOff>9525</xdr:rowOff>
    </xdr:from>
    <xdr:to>
      <xdr:col>26</xdr:col>
      <xdr:colOff>0</xdr:colOff>
      <xdr:row>14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A6A044-AD46-4980-8F32-CB19AC2C9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552450</xdr:colOff>
      <xdr:row>16</xdr:row>
      <xdr:rowOff>9525</xdr:rowOff>
    </xdr:from>
    <xdr:to>
      <xdr:col>25</xdr:col>
      <xdr:colOff>590550</xdr:colOff>
      <xdr:row>29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C59987-22D2-4A7C-99C9-6F5617EA3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15</xdr:row>
      <xdr:rowOff>28575</xdr:rowOff>
    </xdr:from>
    <xdr:to>
      <xdr:col>9</xdr:col>
      <xdr:colOff>552450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DB5F6-7FDF-451F-9004-4EAB0CD58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661987</xdr:colOff>
      <xdr:row>14</xdr:row>
      <xdr:rowOff>171450</xdr:rowOff>
    </xdr:from>
    <xdr:to>
      <xdr:col>15</xdr:col>
      <xdr:colOff>204787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4C557C-B8C4-4444-9CC5-FB8FB8B17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404812</xdr:colOff>
      <xdr:row>14</xdr:row>
      <xdr:rowOff>180975</xdr:rowOff>
    </xdr:from>
    <xdr:to>
      <xdr:col>20</xdr:col>
      <xdr:colOff>785812</xdr:colOff>
      <xdr:row>28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504F0D-C531-4789-9A78-28DE7A643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442912</xdr:colOff>
      <xdr:row>39</xdr:row>
      <xdr:rowOff>161925</xdr:rowOff>
    </xdr:from>
    <xdr:to>
      <xdr:col>13</xdr:col>
      <xdr:colOff>823912</xdr:colOff>
      <xdr:row>53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C080D0-9B49-4089-97B7-49CB077E3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379676</xdr:colOff>
      <xdr:row>39</xdr:row>
      <xdr:rowOff>182826</xdr:rowOff>
    </xdr:from>
    <xdr:to>
      <xdr:col>20</xdr:col>
      <xdr:colOff>784489</xdr:colOff>
      <xdr:row>53</xdr:row>
      <xdr:rowOff>147901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75A0EF-9E20-4908-BB73-3AB87A36E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E8F1-E536-40A7-8E6C-7615830CEC4F}">
  <dimension ref="A1:AI79"/>
  <sheetViews>
    <sheetView zoomScale="35" workbookViewId="0">
      <selection activeCell="R24" sqref="R24"/>
    </sheetView>
  </sheetViews>
  <sheetFormatPr defaultRowHeight="15"/>
  <cols>
    <col min="1" max="1" width="12.5703125" bestFit="1" customWidth="1"/>
    <col min="3" max="3" width="10" bestFit="1" customWidth="1"/>
    <col min="4" max="4" width="14.140625" customWidth="1"/>
    <col min="5" max="5" width="12.85546875" bestFit="1" customWidth="1"/>
    <col min="6" max="6" width="27.140625" bestFit="1" customWidth="1"/>
    <col min="7" max="7" width="26" bestFit="1" customWidth="1"/>
    <col min="8" max="8" width="10" bestFit="1" customWidth="1"/>
    <col min="9" max="9" width="13.140625" bestFit="1" customWidth="1"/>
    <col min="11" max="11" width="14.140625" customWidth="1"/>
    <col min="12" max="12" width="13.42578125" customWidth="1"/>
    <col min="13" max="13" width="13.7109375" customWidth="1"/>
    <col min="15" max="15" width="11.85546875" customWidth="1"/>
    <col min="17" max="17" width="12.7109375" customWidth="1"/>
    <col min="18" max="18" width="11.28515625" customWidth="1"/>
    <col min="19" max="19" width="13.28515625" customWidth="1"/>
    <col min="21" max="21" width="10.85546875" customWidth="1"/>
    <col min="24" max="24" width="14.42578125" customWidth="1"/>
  </cols>
  <sheetData>
    <row r="1" spans="1:35" ht="15.75">
      <c r="A1" s="33" t="s">
        <v>0</v>
      </c>
      <c r="B1" s="33" t="s">
        <v>1</v>
      </c>
      <c r="C1" s="30" t="s">
        <v>2</v>
      </c>
      <c r="D1" s="36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J1" s="7"/>
      <c r="K1" s="35" t="s">
        <v>8</v>
      </c>
    </row>
    <row r="2" spans="1:35" ht="16.5" thickBot="1">
      <c r="A2" s="33" t="s">
        <v>9</v>
      </c>
      <c r="B2" s="32">
        <v>2006</v>
      </c>
      <c r="C2" s="30">
        <v>4.2893109321594238</v>
      </c>
      <c r="D2" s="31">
        <v>2551.4354635845211</v>
      </c>
      <c r="E2" s="30">
        <v>0.6818767786026001</v>
      </c>
      <c r="F2" s="30">
        <v>63.840000152587891</v>
      </c>
      <c r="G2" s="30">
        <v>0.52019780874252319</v>
      </c>
      <c r="H2" s="30">
        <v>-0.23490116000175476</v>
      </c>
      <c r="J2" s="7"/>
      <c r="X2" s="59" t="s">
        <v>10</v>
      </c>
    </row>
    <row r="3" spans="1:35" ht="15.75" thickBot="1">
      <c r="A3" s="33" t="s">
        <v>9</v>
      </c>
      <c r="B3" s="32">
        <v>2007</v>
      </c>
      <c r="C3" s="30">
        <v>4.8815155029296875</v>
      </c>
      <c r="D3" s="31">
        <v>2919.3734936373035</v>
      </c>
      <c r="E3" s="30">
        <v>0.75964432954788208</v>
      </c>
      <c r="F3" s="30">
        <v>64.080001831054688</v>
      </c>
      <c r="G3" s="30">
        <v>0.60541075468063354</v>
      </c>
      <c r="H3" s="30">
        <v>-0.25497710704803467</v>
      </c>
      <c r="J3" s="19" t="s">
        <v>2</v>
      </c>
      <c r="K3" s="19"/>
      <c r="L3" s="19" t="s">
        <v>3</v>
      </c>
      <c r="M3" s="19"/>
      <c r="N3" s="19" t="s">
        <v>11</v>
      </c>
      <c r="O3" s="19"/>
      <c r="P3" s="19" t="s">
        <v>12</v>
      </c>
      <c r="Q3" s="19"/>
      <c r="R3" s="19" t="s">
        <v>13</v>
      </c>
      <c r="S3" s="19"/>
      <c r="T3" s="19" t="s">
        <v>7</v>
      </c>
      <c r="U3" s="19"/>
    </row>
    <row r="4" spans="1:35" ht="15.75">
      <c r="A4" s="33" t="s">
        <v>9</v>
      </c>
      <c r="B4" s="32">
        <v>2008</v>
      </c>
      <c r="C4" s="30">
        <v>4.6519722938537598</v>
      </c>
      <c r="D4" s="31">
        <v>3141.3319350077413</v>
      </c>
      <c r="E4" s="30">
        <v>0.70948553085327148</v>
      </c>
      <c r="F4" s="30">
        <v>64.319999694824219</v>
      </c>
      <c r="G4" s="30">
        <v>0.46215656399726868</v>
      </c>
      <c r="H4" s="30">
        <v>-0.21904514729976654</v>
      </c>
      <c r="X4" s="58" t="s">
        <v>14</v>
      </c>
      <c r="Y4" s="58"/>
      <c r="Z4" s="58" t="s">
        <v>3</v>
      </c>
      <c r="AA4" s="58"/>
      <c r="AB4" s="58" t="s">
        <v>15</v>
      </c>
      <c r="AC4" s="58"/>
      <c r="AD4" s="58" t="s">
        <v>16</v>
      </c>
      <c r="AE4" s="58"/>
      <c r="AF4" s="58" t="s">
        <v>17</v>
      </c>
      <c r="AG4" s="58"/>
      <c r="AH4" s="58" t="s">
        <v>18</v>
      </c>
      <c r="AI4" s="58"/>
    </row>
    <row r="5" spans="1:35">
      <c r="A5" s="33" t="s">
        <v>9</v>
      </c>
      <c r="B5" s="32">
        <v>2009</v>
      </c>
      <c r="C5" s="30">
        <v>4.177581787109375</v>
      </c>
      <c r="D5" s="31">
        <v>2716.974362804709</v>
      </c>
      <c r="E5" s="30">
        <v>0.68000692129135132</v>
      </c>
      <c r="F5" s="30">
        <v>64.55999755859375</v>
      </c>
      <c r="G5" s="30">
        <v>0.44141274690628052</v>
      </c>
      <c r="H5" s="30">
        <v>-0.21777066588401794</v>
      </c>
      <c r="J5" t="s">
        <v>19</v>
      </c>
      <c r="K5">
        <v>4.2219149214880805</v>
      </c>
      <c r="L5" t="s">
        <v>19</v>
      </c>
      <c r="M5">
        <v>3683.9897381225755</v>
      </c>
      <c r="N5" t="s">
        <v>19</v>
      </c>
      <c r="O5">
        <v>0.56950021215847557</v>
      </c>
      <c r="P5" t="s">
        <v>19</v>
      </c>
      <c r="Q5">
        <v>63.967855998447966</v>
      </c>
      <c r="R5" t="s">
        <v>19</v>
      </c>
      <c r="S5">
        <v>0.64782729744911194</v>
      </c>
      <c r="T5" t="s">
        <v>19</v>
      </c>
      <c r="U5">
        <v>-0.25125495663711001</v>
      </c>
    </row>
    <row r="6" spans="1:35">
      <c r="A6" s="33" t="s">
        <v>9</v>
      </c>
      <c r="B6" s="32">
        <v>2010</v>
      </c>
      <c r="C6" s="30">
        <v>4.3678112030029297</v>
      </c>
      <c r="D6" s="31">
        <v>2796.0814342804319</v>
      </c>
      <c r="E6" s="30">
        <v>0.66034233570098877</v>
      </c>
      <c r="F6" s="30">
        <v>64.800003051757813</v>
      </c>
      <c r="G6" s="30">
        <v>0.45925670862197876</v>
      </c>
      <c r="H6" s="30">
        <v>-0.17998570203781128</v>
      </c>
      <c r="J6" t="s">
        <v>20</v>
      </c>
      <c r="K6">
        <v>9.1854820937019327E-2</v>
      </c>
      <c r="L6" t="s">
        <v>20</v>
      </c>
      <c r="M6">
        <v>201.10287182256829</v>
      </c>
      <c r="N6" t="s">
        <v>20</v>
      </c>
      <c r="O6">
        <v>1.3516314352919086E-2</v>
      </c>
      <c r="P6" t="s">
        <v>20</v>
      </c>
      <c r="Q6">
        <v>0.11869877486871587</v>
      </c>
      <c r="R6" t="s">
        <v>20</v>
      </c>
      <c r="S6">
        <v>2.9735933151500887E-2</v>
      </c>
      <c r="T6" t="s">
        <v>20</v>
      </c>
      <c r="U6">
        <v>4.9360403113658871E-3</v>
      </c>
      <c r="X6" t="s">
        <v>19</v>
      </c>
      <c r="Y6">
        <v>4.5136237144470215</v>
      </c>
      <c r="Z6" t="s">
        <v>19</v>
      </c>
      <c r="AA6">
        <v>3294.36636635894</v>
      </c>
      <c r="AB6" t="s">
        <v>19</v>
      </c>
      <c r="AC6">
        <v>0.71862010870661053</v>
      </c>
      <c r="AD6" t="s">
        <v>19</v>
      </c>
      <c r="AE6">
        <v>65.425000054495669</v>
      </c>
      <c r="AF6" t="s">
        <v>19</v>
      </c>
      <c r="AG6">
        <v>0.56379074709756039</v>
      </c>
      <c r="AH6" t="s">
        <v>19</v>
      </c>
      <c r="AI6">
        <v>-0.20546205341815948</v>
      </c>
    </row>
    <row r="7" spans="1:35">
      <c r="A7" s="33" t="s">
        <v>9</v>
      </c>
      <c r="B7" s="32">
        <v>2011</v>
      </c>
      <c r="C7" s="30">
        <v>4.2604913711547852</v>
      </c>
      <c r="D7" s="31">
        <v>2943.8368711931512</v>
      </c>
      <c r="E7" s="30">
        <v>0.70510846376419067</v>
      </c>
      <c r="F7" s="30">
        <v>65.040000915527344</v>
      </c>
      <c r="G7" s="30">
        <v>0.46452471613883972</v>
      </c>
      <c r="H7" s="30">
        <v>-0.22973772883415222</v>
      </c>
      <c r="J7" t="s">
        <v>21</v>
      </c>
      <c r="K7">
        <v>4.2287380695343018</v>
      </c>
      <c r="L7" t="s">
        <v>21</v>
      </c>
      <c r="M7">
        <v>3708.1434025582548</v>
      </c>
      <c r="N7" t="s">
        <v>21</v>
      </c>
      <c r="O7">
        <v>0.55339452624320984</v>
      </c>
      <c r="P7" t="s">
        <v>21</v>
      </c>
      <c r="Q7">
        <v>63.950000762939453</v>
      </c>
      <c r="R7" t="s">
        <v>21</v>
      </c>
      <c r="S7">
        <v>0.63620474934577942</v>
      </c>
      <c r="T7" t="s">
        <v>21</v>
      </c>
      <c r="U7">
        <v>-0.25398954749107361</v>
      </c>
      <c r="X7" t="s">
        <v>20</v>
      </c>
      <c r="Y7">
        <v>0.10122242365600595</v>
      </c>
      <c r="Z7" t="s">
        <v>20</v>
      </c>
      <c r="AA7">
        <v>137.96207554415182</v>
      </c>
      <c r="AB7" t="s">
        <v>20</v>
      </c>
      <c r="AC7">
        <v>1.1501198130815049E-2</v>
      </c>
      <c r="AD7" t="s">
        <v>20</v>
      </c>
      <c r="AE7">
        <v>0.27790416484479735</v>
      </c>
      <c r="AF7" t="s">
        <v>20</v>
      </c>
      <c r="AG7">
        <v>3.343417507372038E-2</v>
      </c>
      <c r="AH7" t="s">
        <v>20</v>
      </c>
      <c r="AI7">
        <v>7.6336236894917146E-3</v>
      </c>
    </row>
    <row r="8" spans="1:35">
      <c r="A8" s="33" t="s">
        <v>9</v>
      </c>
      <c r="B8" s="32">
        <v>2012</v>
      </c>
      <c r="C8" s="30">
        <v>4.3197116851806641</v>
      </c>
      <c r="D8" s="31">
        <v>3159.7586078688928</v>
      </c>
      <c r="E8" s="30">
        <v>0.67644643783569336</v>
      </c>
      <c r="F8" s="30">
        <v>65.279998779296875</v>
      </c>
      <c r="G8" s="30">
        <v>0.50186377763748169</v>
      </c>
      <c r="H8" s="30">
        <v>-0.22002717852592468</v>
      </c>
      <c r="J8" t="s">
        <v>22</v>
      </c>
      <c r="K8" t="e">
        <v>#N/A</v>
      </c>
      <c r="L8" t="s">
        <v>22</v>
      </c>
      <c r="M8" t="e">
        <v>#N/A</v>
      </c>
      <c r="N8" t="s">
        <v>22</v>
      </c>
      <c r="O8" t="e">
        <v>#N/A</v>
      </c>
      <c r="P8" t="s">
        <v>22</v>
      </c>
      <c r="Q8" t="e">
        <v>#N/A</v>
      </c>
      <c r="R8" t="s">
        <v>22</v>
      </c>
      <c r="S8" t="e">
        <v>#N/A</v>
      </c>
      <c r="T8" t="s">
        <v>22</v>
      </c>
      <c r="U8" t="e">
        <v>#N/A</v>
      </c>
      <c r="X8" t="s">
        <v>21</v>
      </c>
      <c r="Y8">
        <v>4.3368957042694092</v>
      </c>
      <c r="Z8" t="s">
        <v>21</v>
      </c>
      <c r="AA8">
        <v>3213.0287189338137</v>
      </c>
      <c r="AB8" t="s">
        <v>21</v>
      </c>
      <c r="AC8">
        <v>0.70935192704200745</v>
      </c>
      <c r="AD8" t="s">
        <v>21</v>
      </c>
      <c r="AE8">
        <v>65.399997711181641</v>
      </c>
      <c r="AF8" t="s">
        <v>21</v>
      </c>
      <c r="AG8">
        <v>0.5133424699306488</v>
      </c>
      <c r="AH8" t="s">
        <v>21</v>
      </c>
      <c r="AI8">
        <v>-0.21357863396406174</v>
      </c>
    </row>
    <row r="9" spans="1:35">
      <c r="A9" s="33" t="s">
        <v>9</v>
      </c>
      <c r="B9" s="32">
        <v>2013</v>
      </c>
      <c r="C9" s="30">
        <v>4.277191162109375</v>
      </c>
      <c r="D9" s="31">
        <v>3266.2988299987346</v>
      </c>
      <c r="E9" s="30">
        <v>0.72326004505157471</v>
      </c>
      <c r="F9" s="30">
        <v>65.519996643066406</v>
      </c>
      <c r="G9" s="30">
        <v>0.5040818452835083</v>
      </c>
      <c r="H9" s="30">
        <v>-0.20098087191581726</v>
      </c>
      <c r="J9" t="s">
        <v>23</v>
      </c>
      <c r="K9">
        <v>0.34368926926979604</v>
      </c>
      <c r="L9" t="s">
        <v>23</v>
      </c>
      <c r="M9">
        <v>752.45804585636574</v>
      </c>
      <c r="N9" t="s">
        <v>23</v>
      </c>
      <c r="O9">
        <v>5.0573417440558342E-2</v>
      </c>
      <c r="P9" t="s">
        <v>23</v>
      </c>
      <c r="Q9">
        <v>0.44413014778854781</v>
      </c>
      <c r="R9" t="s">
        <v>23</v>
      </c>
      <c r="S9">
        <v>0.11126167392892942</v>
      </c>
      <c r="T9" t="s">
        <v>23</v>
      </c>
      <c r="U9">
        <v>1.8468971692436116E-2</v>
      </c>
      <c r="X9" t="s">
        <v>23</v>
      </c>
      <c r="Y9">
        <v>0.37873962917965598</v>
      </c>
      <c r="Z9" t="s">
        <v>23</v>
      </c>
      <c r="AA9">
        <v>516.20681905444019</v>
      </c>
      <c r="AB9" t="s">
        <v>23</v>
      </c>
      <c r="AC9">
        <v>4.3033542942914775E-2</v>
      </c>
      <c r="AD9" t="s">
        <v>23</v>
      </c>
      <c r="AE9">
        <v>1.039822171206779</v>
      </c>
      <c r="AF9" t="s">
        <v>23</v>
      </c>
      <c r="AG9">
        <v>0.12509922813527904</v>
      </c>
      <c r="AH9" t="s">
        <v>23</v>
      </c>
      <c r="AI9">
        <v>2.8562404465639221E-2</v>
      </c>
    </row>
    <row r="10" spans="1:35">
      <c r="A10" s="33" t="s">
        <v>9</v>
      </c>
      <c r="B10" s="32">
        <v>2014</v>
      </c>
      <c r="C10" s="30">
        <v>4.4530830383300781</v>
      </c>
      <c r="D10" s="31">
        <v>3393.0925232688396</v>
      </c>
      <c r="E10" s="30">
        <v>0.73876351118087769</v>
      </c>
      <c r="F10" s="30">
        <v>65.760002136230469</v>
      </c>
      <c r="G10" s="30">
        <v>0.50648713111877441</v>
      </c>
      <c r="H10" s="30">
        <v>-0.22462782263755798</v>
      </c>
      <c r="J10" t="s">
        <v>24</v>
      </c>
      <c r="K10">
        <v>0.11812231381120639</v>
      </c>
      <c r="L10" t="s">
        <v>24</v>
      </c>
      <c r="M10">
        <v>566193.11077398062</v>
      </c>
      <c r="N10" t="s">
        <v>24</v>
      </c>
      <c r="O10">
        <v>2.5576705516169706E-3</v>
      </c>
      <c r="P10" t="s">
        <v>24</v>
      </c>
      <c r="Q10">
        <v>0.19725158817467733</v>
      </c>
      <c r="R10" t="s">
        <v>24</v>
      </c>
      <c r="S10">
        <v>1.2379160085467415E-2</v>
      </c>
      <c r="T10" t="s">
        <v>24</v>
      </c>
      <c r="U10">
        <v>3.4110291537600663E-4</v>
      </c>
      <c r="X10" t="s">
        <v>24</v>
      </c>
      <c r="Y10">
        <v>0.14344370671114332</v>
      </c>
      <c r="Z10" t="s">
        <v>24</v>
      </c>
      <c r="AA10">
        <v>266469.48003830359</v>
      </c>
      <c r="AB10" t="s">
        <v>24</v>
      </c>
      <c r="AC10">
        <v>1.8518858182196899E-3</v>
      </c>
      <c r="AD10" t="s">
        <v>24</v>
      </c>
      <c r="AE10">
        <v>1.0812301477331798</v>
      </c>
      <c r="AF10" t="s">
        <v>24</v>
      </c>
      <c r="AG10">
        <v>1.5649816880042591E-2</v>
      </c>
      <c r="AH10" t="s">
        <v>24</v>
      </c>
      <c r="AI10">
        <v>8.1581094885876731E-4</v>
      </c>
    </row>
    <row r="11" spans="1:35">
      <c r="A11" s="33" t="s">
        <v>9</v>
      </c>
      <c r="B11" s="32">
        <v>2015</v>
      </c>
      <c r="C11" s="30">
        <v>4.3483195304870605</v>
      </c>
      <c r="D11" s="31">
        <v>3512.3935027670905</v>
      </c>
      <c r="E11" s="30">
        <v>0.72255104780197144</v>
      </c>
      <c r="F11" s="30">
        <v>66</v>
      </c>
      <c r="G11" s="30">
        <v>0.55102664232254028</v>
      </c>
      <c r="H11" s="30">
        <v>-0.20938660204410553</v>
      </c>
      <c r="J11" t="s">
        <v>25</v>
      </c>
      <c r="K11">
        <v>-2.5496191321023431E-2</v>
      </c>
      <c r="L11" t="s">
        <v>25</v>
      </c>
      <c r="M11">
        <v>-1.1012361317707016</v>
      </c>
      <c r="N11" t="s">
        <v>25</v>
      </c>
      <c r="O11">
        <v>-0.12552776979655356</v>
      </c>
      <c r="P11" t="s">
        <v>25</v>
      </c>
      <c r="Q11">
        <v>-1.0987267839586106</v>
      </c>
      <c r="R11" t="s">
        <v>25</v>
      </c>
      <c r="S11">
        <v>-0.83801292977091046</v>
      </c>
      <c r="T11" t="s">
        <v>25</v>
      </c>
      <c r="U11">
        <v>0.17530392225116032</v>
      </c>
      <c r="X11" t="s">
        <v>25</v>
      </c>
      <c r="Y11">
        <v>2.3451905864676021</v>
      </c>
      <c r="Z11" t="s">
        <v>25</v>
      </c>
      <c r="AA11">
        <v>-0.23324792623117396</v>
      </c>
      <c r="AB11" t="s">
        <v>25</v>
      </c>
      <c r="AC11">
        <v>0.51399783149957212</v>
      </c>
      <c r="AD11" t="s">
        <v>25</v>
      </c>
      <c r="AE11">
        <v>-1.1434536112073586</v>
      </c>
      <c r="AF11" t="s">
        <v>25</v>
      </c>
      <c r="AG11">
        <v>1.322193992992247</v>
      </c>
      <c r="AH11" t="s">
        <v>25</v>
      </c>
      <c r="AI11">
        <v>-0.77081603360751938</v>
      </c>
    </row>
    <row r="12" spans="1:35">
      <c r="A12" s="33" t="s">
        <v>9</v>
      </c>
      <c r="B12" s="32">
        <v>2016</v>
      </c>
      <c r="C12" s="30">
        <v>4.3254718780517578</v>
      </c>
      <c r="D12" s="31">
        <v>3533.8850360700676</v>
      </c>
      <c r="E12" s="30">
        <v>0.70921832323074341</v>
      </c>
      <c r="F12" s="30">
        <v>66.275001525878906</v>
      </c>
      <c r="G12" s="30">
        <v>0.61098694801330566</v>
      </c>
      <c r="H12" s="30">
        <v>-0.17776034772396088</v>
      </c>
      <c r="J12" t="s">
        <v>26</v>
      </c>
      <c r="K12">
        <v>7.1914725673569199E-2</v>
      </c>
      <c r="L12" t="s">
        <v>26</v>
      </c>
      <c r="M12">
        <v>0.18528832396350289</v>
      </c>
      <c r="N12" t="s">
        <v>26</v>
      </c>
      <c r="O12">
        <v>0.84452320344199772</v>
      </c>
      <c r="P12" t="s">
        <v>26</v>
      </c>
      <c r="Q12">
        <v>0.13449898612323147</v>
      </c>
      <c r="R12" t="s">
        <v>26</v>
      </c>
      <c r="S12">
        <v>5.5186979045233835E-2</v>
      </c>
      <c r="T12" t="s">
        <v>26</v>
      </c>
      <c r="U12">
        <v>0.69264931002600194</v>
      </c>
      <c r="X12" t="s">
        <v>26</v>
      </c>
      <c r="Y12">
        <v>1.7032511302790561</v>
      </c>
      <c r="Z12" t="s">
        <v>26</v>
      </c>
      <c r="AA12">
        <v>0.57908947164140601</v>
      </c>
      <c r="AB12" t="s">
        <v>26</v>
      </c>
      <c r="AC12">
        <v>0.91688615886941705</v>
      </c>
      <c r="AD12" t="s">
        <v>26</v>
      </c>
      <c r="AE12">
        <v>7.9360457434616671E-2</v>
      </c>
      <c r="AF12" t="s">
        <v>26</v>
      </c>
      <c r="AG12">
        <v>1.4280485835681447</v>
      </c>
      <c r="AH12" t="s">
        <v>26</v>
      </c>
      <c r="AI12">
        <v>0.18090077375027602</v>
      </c>
    </row>
    <row r="13" spans="1:35">
      <c r="A13" s="33" t="s">
        <v>9</v>
      </c>
      <c r="B13" s="32">
        <v>2017</v>
      </c>
      <c r="C13" s="30">
        <v>4.2877364158630371</v>
      </c>
      <c r="D13" s="31">
        <v>3815.3747426037021</v>
      </c>
      <c r="E13" s="30">
        <v>0.6979249119758606</v>
      </c>
      <c r="F13" s="30">
        <v>66.550003051757813</v>
      </c>
      <c r="G13" s="30">
        <v>0.61369705200195313</v>
      </c>
      <c r="H13" s="30">
        <v>-0.15476050972938538</v>
      </c>
      <c r="J13" t="s">
        <v>27</v>
      </c>
      <c r="K13">
        <v>1.2167272567749023</v>
      </c>
      <c r="L13" t="s">
        <v>27</v>
      </c>
      <c r="M13">
        <v>2420.9989469090024</v>
      </c>
      <c r="N13" t="s">
        <v>27</v>
      </c>
      <c r="O13">
        <v>0.17203867435455322</v>
      </c>
      <c r="P13" t="s">
        <v>27</v>
      </c>
      <c r="Q13">
        <v>1.3999977111816406</v>
      </c>
      <c r="R13" t="s">
        <v>27</v>
      </c>
      <c r="S13">
        <v>0.35718625783920288</v>
      </c>
      <c r="T13" t="s">
        <v>27</v>
      </c>
      <c r="U13">
        <v>6.4136773347854614E-2</v>
      </c>
      <c r="X13" t="s">
        <v>27</v>
      </c>
      <c r="Y13">
        <v>1.3105049133300781</v>
      </c>
      <c r="Z13" t="s">
        <v>27</v>
      </c>
      <c r="AA13">
        <v>1792.0229322456726</v>
      </c>
      <c r="AB13" t="s">
        <v>27</v>
      </c>
      <c r="AC13">
        <v>0.15410667657852173</v>
      </c>
      <c r="AD13" t="s">
        <v>27</v>
      </c>
      <c r="AE13">
        <v>3.2599983215332031</v>
      </c>
      <c r="AF13" t="s">
        <v>27</v>
      </c>
      <c r="AG13">
        <v>0.40291136503219604</v>
      </c>
      <c r="AH13" t="s">
        <v>27</v>
      </c>
      <c r="AI13">
        <v>0.10021659731864929</v>
      </c>
    </row>
    <row r="14" spans="1:35">
      <c r="A14" s="33" t="s">
        <v>9</v>
      </c>
      <c r="B14" s="32">
        <v>2018</v>
      </c>
      <c r="C14" s="30">
        <v>5.0624485015869141</v>
      </c>
      <c r="D14" s="31">
        <v>4027.8339301097853</v>
      </c>
      <c r="E14" s="30">
        <v>0.8144490122795105</v>
      </c>
      <c r="F14" s="30">
        <v>66.824996948242188</v>
      </c>
      <c r="G14" s="30">
        <v>0.80764365196228027</v>
      </c>
      <c r="H14" s="30">
        <v>-0.17107826471328735</v>
      </c>
      <c r="J14" t="s">
        <v>28</v>
      </c>
      <c r="K14">
        <v>3.6751084327697754</v>
      </c>
      <c r="L14" t="s">
        <v>28</v>
      </c>
      <c r="M14">
        <v>2554.8125350391365</v>
      </c>
      <c r="N14" t="s">
        <v>28</v>
      </c>
      <c r="O14">
        <v>0.50293737649917603</v>
      </c>
      <c r="P14" t="s">
        <v>28</v>
      </c>
      <c r="Q14">
        <v>63.299999237060547</v>
      </c>
      <c r="R14" t="s">
        <v>28</v>
      </c>
      <c r="S14">
        <v>0.46372252702713013</v>
      </c>
      <c r="T14" t="s">
        <v>28</v>
      </c>
      <c r="U14">
        <v>-0.27456489205360413</v>
      </c>
      <c r="X14" t="s">
        <v>28</v>
      </c>
      <c r="Y14">
        <v>4.177581787109375</v>
      </c>
      <c r="Z14" t="s">
        <v>28</v>
      </c>
      <c r="AA14">
        <v>2551.4354635845211</v>
      </c>
      <c r="AB14" t="s">
        <v>28</v>
      </c>
      <c r="AC14">
        <v>0.66034233570098877</v>
      </c>
      <c r="AD14" t="s">
        <v>28</v>
      </c>
      <c r="AE14">
        <v>63.840000152587891</v>
      </c>
      <c r="AF14" t="s">
        <v>28</v>
      </c>
      <c r="AG14">
        <v>0.44141274690628052</v>
      </c>
      <c r="AH14" t="s">
        <v>28</v>
      </c>
      <c r="AI14">
        <v>-0.25497710704803467</v>
      </c>
    </row>
    <row r="15" spans="1:35">
      <c r="A15" s="33" t="s">
        <v>9</v>
      </c>
      <c r="B15" s="32">
        <v>2019</v>
      </c>
      <c r="C15" s="30">
        <v>5.4880867004394531</v>
      </c>
      <c r="D15" s="31">
        <v>4343.4583958301937</v>
      </c>
      <c r="E15" s="30">
        <v>0.78160387277603149</v>
      </c>
      <c r="F15" s="30">
        <v>67.099998474121094</v>
      </c>
      <c r="G15" s="30">
        <v>0.84432411193847656</v>
      </c>
      <c r="H15" s="30">
        <v>-0.18142963945865631</v>
      </c>
      <c r="J15" t="s">
        <v>29</v>
      </c>
      <c r="K15">
        <v>4.8918356895446777</v>
      </c>
      <c r="L15" t="s">
        <v>29</v>
      </c>
      <c r="M15">
        <v>4975.8114819481389</v>
      </c>
      <c r="N15" t="s">
        <v>29</v>
      </c>
      <c r="O15">
        <v>0.67497605085372925</v>
      </c>
      <c r="P15" t="s">
        <v>29</v>
      </c>
      <c r="Q15">
        <v>64.699996948242188</v>
      </c>
      <c r="R15" t="s">
        <v>29</v>
      </c>
      <c r="S15">
        <v>0.82090878486633301</v>
      </c>
      <c r="T15" t="s">
        <v>29</v>
      </c>
      <c r="U15">
        <v>-0.21042811870574951</v>
      </c>
      <c r="X15" t="s">
        <v>29</v>
      </c>
      <c r="Y15">
        <v>5.4880867004394531</v>
      </c>
      <c r="Z15" t="s">
        <v>29</v>
      </c>
      <c r="AA15">
        <v>4343.4583958301937</v>
      </c>
      <c r="AB15" t="s">
        <v>29</v>
      </c>
      <c r="AC15">
        <v>0.8144490122795105</v>
      </c>
      <c r="AD15" t="s">
        <v>29</v>
      </c>
      <c r="AE15">
        <v>67.099998474121094</v>
      </c>
      <c r="AF15" t="s">
        <v>29</v>
      </c>
      <c r="AG15">
        <v>0.84432411193847656</v>
      </c>
      <c r="AH15" t="s">
        <v>29</v>
      </c>
      <c r="AI15">
        <v>-0.15476050972938538</v>
      </c>
    </row>
    <row r="16" spans="1:35">
      <c r="A16" s="33" t="s">
        <v>30</v>
      </c>
      <c r="B16" s="32">
        <v>2006</v>
      </c>
      <c r="C16" s="30">
        <v>4.7278709411621094</v>
      </c>
      <c r="D16" s="31">
        <v>3501.1648250060261</v>
      </c>
      <c r="E16" s="30">
        <v>0.85441488027572632</v>
      </c>
      <c r="F16" s="30">
        <v>60.580001831054688</v>
      </c>
      <c r="G16" s="30">
        <v>0.77152818441390991</v>
      </c>
      <c r="H16" s="30">
        <v>-0.2392495721578598</v>
      </c>
      <c r="J16" t="s">
        <v>31</v>
      </c>
      <c r="K16">
        <v>59.10680890083313</v>
      </c>
      <c r="L16" t="s">
        <v>31</v>
      </c>
      <c r="M16">
        <v>51575.856333716059</v>
      </c>
      <c r="N16" t="s">
        <v>31</v>
      </c>
      <c r="O16">
        <v>7.9730029702186584</v>
      </c>
      <c r="P16" t="s">
        <v>31</v>
      </c>
      <c r="Q16">
        <v>895.54998397827148</v>
      </c>
      <c r="R16" t="s">
        <v>31</v>
      </c>
      <c r="S16">
        <v>9.0695821642875671</v>
      </c>
      <c r="T16" t="s">
        <v>31</v>
      </c>
      <c r="U16">
        <v>-3.5175693929195404</v>
      </c>
      <c r="X16" t="s">
        <v>31</v>
      </c>
      <c r="Y16">
        <v>63.190732002258301</v>
      </c>
      <c r="Z16" t="s">
        <v>31</v>
      </c>
      <c r="AA16">
        <v>46121.129129025161</v>
      </c>
      <c r="AB16" t="s">
        <v>31</v>
      </c>
      <c r="AC16">
        <v>10.060681521892548</v>
      </c>
      <c r="AD16" t="s">
        <v>31</v>
      </c>
      <c r="AE16">
        <v>915.95000076293945</v>
      </c>
      <c r="AF16" t="s">
        <v>31</v>
      </c>
      <c r="AG16">
        <v>7.8930704593658447</v>
      </c>
      <c r="AH16" t="s">
        <v>31</v>
      </c>
      <c r="AI16">
        <v>-2.8764687478542328</v>
      </c>
    </row>
    <row r="17" spans="1:35">
      <c r="A17" s="33" t="s">
        <v>30</v>
      </c>
      <c r="B17" s="32">
        <v>2007</v>
      </c>
      <c r="C17" s="30">
        <v>4.5681595802307129</v>
      </c>
      <c r="D17" s="31">
        <v>4327.1136046884812</v>
      </c>
      <c r="E17" s="30">
        <v>0.75324678421020508</v>
      </c>
      <c r="F17" s="30">
        <v>60.860000610351563</v>
      </c>
      <c r="G17" s="30">
        <v>0.52204632759094238</v>
      </c>
      <c r="H17" s="30">
        <v>-0.21111249923706055</v>
      </c>
      <c r="J17" t="s">
        <v>32</v>
      </c>
      <c r="K17">
        <v>14</v>
      </c>
      <c r="L17" t="s">
        <v>32</v>
      </c>
      <c r="M17">
        <v>14</v>
      </c>
      <c r="N17" t="s">
        <v>32</v>
      </c>
      <c r="O17">
        <v>14</v>
      </c>
      <c r="P17" t="s">
        <v>32</v>
      </c>
      <c r="Q17">
        <v>14</v>
      </c>
      <c r="R17" t="s">
        <v>32</v>
      </c>
      <c r="S17">
        <v>14</v>
      </c>
      <c r="T17" t="s">
        <v>32</v>
      </c>
      <c r="U17">
        <v>14</v>
      </c>
      <c r="X17" t="s">
        <v>32</v>
      </c>
      <c r="Y17">
        <v>14</v>
      </c>
      <c r="Z17" t="s">
        <v>32</v>
      </c>
      <c r="AA17">
        <v>14</v>
      </c>
      <c r="AB17" t="s">
        <v>32</v>
      </c>
      <c r="AC17">
        <v>14</v>
      </c>
      <c r="AD17" t="s">
        <v>32</v>
      </c>
      <c r="AE17">
        <v>14</v>
      </c>
      <c r="AF17" t="s">
        <v>32</v>
      </c>
      <c r="AG17">
        <v>14</v>
      </c>
      <c r="AH17" t="s">
        <v>32</v>
      </c>
      <c r="AI17">
        <v>14</v>
      </c>
    </row>
    <row r="18" spans="1:35">
      <c r="A18" s="33" t="s">
        <v>30</v>
      </c>
      <c r="B18" s="32">
        <v>2008</v>
      </c>
      <c r="C18" s="30">
        <v>4.8171892166137695</v>
      </c>
      <c r="D18" s="31">
        <v>4693.0770796811566</v>
      </c>
      <c r="E18" s="30">
        <v>0.68426722288131714</v>
      </c>
      <c r="F18" s="30">
        <v>61.139999389648438</v>
      </c>
      <c r="G18" s="30">
        <v>0.60104328393936157</v>
      </c>
      <c r="H18" s="30">
        <v>-3.381616622209549E-2</v>
      </c>
      <c r="J18" t="s">
        <v>33</v>
      </c>
      <c r="K18">
        <v>4.8918356895446777</v>
      </c>
      <c r="L18" t="s">
        <v>33</v>
      </c>
      <c r="M18">
        <v>4975.8114819481389</v>
      </c>
      <c r="N18" t="s">
        <v>33</v>
      </c>
      <c r="O18">
        <v>0.67497605085372925</v>
      </c>
      <c r="P18" t="s">
        <v>33</v>
      </c>
      <c r="Q18">
        <v>64.699996948242188</v>
      </c>
      <c r="R18" t="s">
        <v>33</v>
      </c>
      <c r="S18">
        <v>0.82090878486633301</v>
      </c>
      <c r="T18" t="s">
        <v>33</v>
      </c>
      <c r="U18">
        <v>-0.21042811870574951</v>
      </c>
      <c r="X18" t="s">
        <v>33</v>
      </c>
      <c r="Y18">
        <v>5.4880867004394531</v>
      </c>
      <c r="Z18" t="s">
        <v>33</v>
      </c>
      <c r="AA18">
        <v>4343.4583958301937</v>
      </c>
      <c r="AB18" t="s">
        <v>33</v>
      </c>
      <c r="AC18">
        <v>0.8144490122795105</v>
      </c>
      <c r="AD18" t="s">
        <v>33</v>
      </c>
      <c r="AE18">
        <v>67.099998474121094</v>
      </c>
      <c r="AF18" t="s">
        <v>33</v>
      </c>
      <c r="AG18">
        <v>0.84432411193847656</v>
      </c>
      <c r="AH18" t="s">
        <v>33</v>
      </c>
      <c r="AI18">
        <v>-0.15476050972938538</v>
      </c>
    </row>
    <row r="19" spans="1:35">
      <c r="A19" s="33" t="s">
        <v>30</v>
      </c>
      <c r="B19" s="32">
        <v>2009</v>
      </c>
      <c r="C19" s="30">
        <v>4.5737252235412598</v>
      </c>
      <c r="D19" s="31">
        <v>5023.9672905028019</v>
      </c>
      <c r="E19" s="30">
        <v>0.73597031831741333</v>
      </c>
      <c r="F19" s="30">
        <v>61.419998168945313</v>
      </c>
      <c r="G19" s="30">
        <v>0.49813839793205261</v>
      </c>
      <c r="H19" s="30">
        <v>-9.1217078268527985E-2</v>
      </c>
      <c r="J19" t="s">
        <v>34</v>
      </c>
      <c r="K19">
        <v>3.6751084327697754</v>
      </c>
      <c r="L19" t="s">
        <v>34</v>
      </c>
      <c r="M19">
        <v>2554.8125350391365</v>
      </c>
      <c r="N19" t="s">
        <v>34</v>
      </c>
      <c r="O19">
        <v>0.50293737649917603</v>
      </c>
      <c r="P19" t="s">
        <v>34</v>
      </c>
      <c r="Q19">
        <v>63.299999237060547</v>
      </c>
      <c r="R19" t="s">
        <v>34</v>
      </c>
      <c r="S19">
        <v>0.46372252702713013</v>
      </c>
      <c r="T19" t="s">
        <v>34</v>
      </c>
      <c r="U19">
        <v>-0.27456489205360413</v>
      </c>
      <c r="X19" t="s">
        <v>34</v>
      </c>
      <c r="Y19">
        <v>4.177581787109375</v>
      </c>
      <c r="Z19" t="s">
        <v>34</v>
      </c>
      <c r="AA19">
        <v>2551.4354635845211</v>
      </c>
      <c r="AB19" t="s">
        <v>34</v>
      </c>
      <c r="AC19">
        <v>0.66034233570098877</v>
      </c>
      <c r="AD19" t="s">
        <v>34</v>
      </c>
      <c r="AE19">
        <v>63.840000152587891</v>
      </c>
      <c r="AF19" t="s">
        <v>34</v>
      </c>
      <c r="AG19">
        <v>0.44141274690628052</v>
      </c>
      <c r="AH19" t="s">
        <v>34</v>
      </c>
      <c r="AI19">
        <v>-0.25497710704803467</v>
      </c>
    </row>
    <row r="20" spans="1:35" ht="15.75" thickBot="1">
      <c r="A20" s="33" t="s">
        <v>30</v>
      </c>
      <c r="B20" s="32">
        <v>2010</v>
      </c>
      <c r="C20" s="30">
        <v>4.2186107635498047</v>
      </c>
      <c r="D20" s="31">
        <v>5215.2041542949592</v>
      </c>
      <c r="E20" s="30">
        <v>0.68700098991394043</v>
      </c>
      <c r="F20" s="30">
        <v>61.700000762939453</v>
      </c>
      <c r="G20" s="30">
        <v>0.50107109546661377</v>
      </c>
      <c r="H20" s="30">
        <v>-0.1277264803647995</v>
      </c>
      <c r="J20" s="12" t="s">
        <v>35</v>
      </c>
      <c r="K20" s="12">
        <v>0.19844027609733875</v>
      </c>
      <c r="L20" s="12" t="s">
        <v>35</v>
      </c>
      <c r="M20" s="12">
        <v>434.45634101013087</v>
      </c>
      <c r="N20" s="12" t="s">
        <v>35</v>
      </c>
      <c r="O20" s="12">
        <v>2.9200221878944554E-2</v>
      </c>
      <c r="P20" s="12" t="s">
        <v>35</v>
      </c>
      <c r="Q20" s="12">
        <v>0.25643311278690711</v>
      </c>
      <c r="R20" s="12" t="s">
        <v>35</v>
      </c>
      <c r="S20" s="12">
        <v>6.4240577951175368E-2</v>
      </c>
      <c r="T20" s="12" t="s">
        <v>35</v>
      </c>
      <c r="U20" s="12">
        <v>1.0663666775711702E-2</v>
      </c>
      <c r="X20" s="12" t="s">
        <v>36</v>
      </c>
      <c r="Y20" s="12">
        <v>0.21867775139763307</v>
      </c>
      <c r="Z20" s="12" t="s">
        <v>36</v>
      </c>
      <c r="AA20" s="12">
        <v>298.04894378613744</v>
      </c>
      <c r="AB20" s="12" t="s">
        <v>36</v>
      </c>
      <c r="AC20" s="12">
        <v>2.4846827953581278E-2</v>
      </c>
      <c r="AD20" s="12" t="s">
        <v>36</v>
      </c>
      <c r="AE20" s="12">
        <v>0.60037544723116909</v>
      </c>
      <c r="AF20" s="12" t="s">
        <v>36</v>
      </c>
      <c r="AG20" s="12">
        <v>7.2230143883955059E-2</v>
      </c>
      <c r="AH20" s="12" t="s">
        <v>36</v>
      </c>
      <c r="AI20" s="12">
        <v>1.6491441354009755E-2</v>
      </c>
    </row>
    <row r="21" spans="1:35">
      <c r="A21" s="33" t="s">
        <v>30</v>
      </c>
      <c r="B21" s="32">
        <v>2011</v>
      </c>
      <c r="C21" s="30">
        <v>4.6804695129394531</v>
      </c>
      <c r="D21" s="31">
        <v>5152.838502447441</v>
      </c>
      <c r="E21" s="30">
        <v>0.72519391775131226</v>
      </c>
      <c r="F21" s="30">
        <v>61.979999542236328</v>
      </c>
      <c r="G21" s="30">
        <v>0.53748428821563721</v>
      </c>
      <c r="H21" s="30">
        <v>-0.11023659259080887</v>
      </c>
      <c r="J21" s="7"/>
    </row>
    <row r="22" spans="1:35">
      <c r="A22" s="33" t="s">
        <v>30</v>
      </c>
      <c r="B22" s="32">
        <v>2012</v>
      </c>
      <c r="C22" s="30">
        <v>4.9107718467712402</v>
      </c>
      <c r="D22" s="31">
        <v>5194.9209166508335</v>
      </c>
      <c r="E22" s="30">
        <v>0.76187324523925781</v>
      </c>
      <c r="F22" s="30">
        <v>62.259998321533203</v>
      </c>
      <c r="G22" s="30">
        <v>0.59885907173156738</v>
      </c>
      <c r="H22" s="30">
        <v>-0.14562302827835083</v>
      </c>
      <c r="J22" s="7"/>
    </row>
    <row r="23" spans="1:35">
      <c r="A23" s="33" t="s">
        <v>30</v>
      </c>
      <c r="B23" s="32">
        <v>2013</v>
      </c>
      <c r="C23" s="30">
        <v>5.4811782836914063</v>
      </c>
      <c r="D23" s="31">
        <v>5426.0959415596126</v>
      </c>
      <c r="E23" s="30">
        <v>0.76969015598297119</v>
      </c>
      <c r="F23" s="30">
        <v>62.540000915527344</v>
      </c>
      <c r="G23" s="30">
        <v>0.67195695638656616</v>
      </c>
      <c r="H23" s="30">
        <v>-0.1734439879655838</v>
      </c>
      <c r="J23" s="7"/>
    </row>
    <row r="24" spans="1:35" ht="15.75">
      <c r="A24" s="33" t="s">
        <v>30</v>
      </c>
      <c r="B24" s="32">
        <v>2014</v>
      </c>
      <c r="C24" s="30">
        <v>5.2515301704406738</v>
      </c>
      <c r="D24" s="31">
        <v>5506.1816960031856</v>
      </c>
      <c r="E24" s="30">
        <v>0.79943335056304932</v>
      </c>
      <c r="F24" s="30">
        <v>62.819999694824219</v>
      </c>
      <c r="G24" s="30">
        <v>0.73277294635772705</v>
      </c>
      <c r="H24" s="30">
        <v>-0.21381649374961853</v>
      </c>
      <c r="J24" s="7"/>
      <c r="K24" s="34" t="s">
        <v>37</v>
      </c>
    </row>
    <row r="25" spans="1:35" ht="15.75" thickBot="1">
      <c r="A25" s="33" t="s">
        <v>30</v>
      </c>
      <c r="B25" s="32">
        <v>2015</v>
      </c>
      <c r="C25" s="30">
        <v>5.1467747688293457</v>
      </c>
      <c r="D25" s="31">
        <v>5500.503646284862</v>
      </c>
      <c r="E25" s="30">
        <v>0.78570276498794556</v>
      </c>
      <c r="F25" s="30">
        <v>63.099998474121094</v>
      </c>
      <c r="G25" s="30">
        <v>0.7642894983291626</v>
      </c>
      <c r="H25" s="30">
        <v>-0.20340487360954285</v>
      </c>
      <c r="J25" s="7"/>
      <c r="X25" s="1" t="s">
        <v>38</v>
      </c>
    </row>
    <row r="26" spans="1:35" ht="15.75" thickBot="1">
      <c r="A26" s="33" t="s">
        <v>30</v>
      </c>
      <c r="B26" s="32">
        <v>2016</v>
      </c>
      <c r="C26" s="30">
        <v>5.3038949966430664</v>
      </c>
      <c r="D26" s="31">
        <v>5270.7381657120031</v>
      </c>
      <c r="E26" s="30">
        <v>0.77727103233337402</v>
      </c>
      <c r="F26" s="30">
        <v>63.224998474121094</v>
      </c>
      <c r="G26" s="30">
        <v>0.71257317066192627</v>
      </c>
      <c r="H26" s="30">
        <v>-0.20979988574981689</v>
      </c>
      <c r="J26" s="19" t="s">
        <v>39</v>
      </c>
      <c r="K26" s="19"/>
      <c r="L26" s="19" t="s">
        <v>3</v>
      </c>
      <c r="M26" s="19"/>
      <c r="N26" s="19" t="s">
        <v>11</v>
      </c>
      <c r="O26" s="19"/>
      <c r="P26" s="19" t="s">
        <v>12</v>
      </c>
      <c r="Q26" s="19"/>
      <c r="R26" s="19" t="s">
        <v>13</v>
      </c>
      <c r="S26" s="19"/>
      <c r="T26" s="19" t="s">
        <v>7</v>
      </c>
      <c r="U26" s="19"/>
    </row>
    <row r="27" spans="1:35" ht="15.75">
      <c r="A27" s="33" t="s">
        <v>30</v>
      </c>
      <c r="B27" s="32">
        <v>2017</v>
      </c>
      <c r="C27" s="30">
        <v>5.1522793769836426</v>
      </c>
      <c r="D27" s="31">
        <v>5229.7098898585955</v>
      </c>
      <c r="E27" s="30">
        <v>0.78703939914703369</v>
      </c>
      <c r="F27" s="30">
        <v>63.349998474121094</v>
      </c>
      <c r="G27" s="30">
        <v>0.73103046417236328</v>
      </c>
      <c r="H27" s="30">
        <v>-0.23079732060432434</v>
      </c>
      <c r="X27" s="58" t="s">
        <v>14</v>
      </c>
      <c r="Y27" s="58"/>
      <c r="Z27" s="58" t="s">
        <v>40</v>
      </c>
      <c r="AA27" s="58"/>
      <c r="AB27" s="58" t="s">
        <v>41</v>
      </c>
      <c r="AC27" s="58"/>
      <c r="AD27" s="58" t="s">
        <v>42</v>
      </c>
      <c r="AE27" s="58"/>
      <c r="AF27" s="58" t="s">
        <v>43</v>
      </c>
      <c r="AG27" s="58"/>
      <c r="AH27" s="58" t="s">
        <v>44</v>
      </c>
      <c r="AI27" s="58"/>
    </row>
    <row r="28" spans="1:35">
      <c r="A28" s="33" t="s">
        <v>30</v>
      </c>
      <c r="B28" s="32">
        <v>2018</v>
      </c>
      <c r="C28" s="30">
        <v>5.1679954528808594</v>
      </c>
      <c r="D28" s="31">
        <v>5262.3687047336762</v>
      </c>
      <c r="E28" s="30">
        <v>0.78122991323471069</v>
      </c>
      <c r="F28" s="30">
        <v>63.474998474121094</v>
      </c>
      <c r="G28" s="30">
        <v>0.77244925498962402</v>
      </c>
      <c r="H28" s="30">
        <v>-0.23728296160697937</v>
      </c>
      <c r="J28" t="s">
        <v>19</v>
      </c>
      <c r="K28">
        <v>5.5225194862910678</v>
      </c>
      <c r="L28" t="s">
        <v>19</v>
      </c>
      <c r="M28">
        <v>9211.1553849686934</v>
      </c>
      <c r="N28" t="s">
        <v>19</v>
      </c>
      <c r="O28">
        <v>0.90186864137649536</v>
      </c>
      <c r="P28" t="s">
        <v>19</v>
      </c>
      <c r="Q28">
        <v>61.553571428571431</v>
      </c>
      <c r="R28" t="s">
        <v>19</v>
      </c>
      <c r="S28">
        <v>0.66596166150910518</v>
      </c>
      <c r="T28" t="s">
        <v>19</v>
      </c>
      <c r="U28">
        <v>-0.24572201658572471</v>
      </c>
    </row>
    <row r="29" spans="1:35">
      <c r="A29" s="33" t="s">
        <v>30</v>
      </c>
      <c r="B29" s="32">
        <v>2019</v>
      </c>
      <c r="C29" s="30">
        <v>5.1733894348144531</v>
      </c>
      <c r="D29" s="31">
        <v>5348.4531885182314</v>
      </c>
      <c r="E29" s="30">
        <v>0.88675642013549805</v>
      </c>
      <c r="F29" s="30">
        <v>63.599998474121094</v>
      </c>
      <c r="G29" s="30">
        <v>0.8542485237121582</v>
      </c>
      <c r="H29" s="30">
        <v>-0.22002698481082916</v>
      </c>
      <c r="J29" t="s">
        <v>20</v>
      </c>
      <c r="K29">
        <v>8.1186389964790398E-2</v>
      </c>
      <c r="L29" t="s">
        <v>20</v>
      </c>
      <c r="M29">
        <v>158.11950171713949</v>
      </c>
      <c r="N29" t="s">
        <v>20</v>
      </c>
      <c r="O29">
        <v>4.2112054813321113E-3</v>
      </c>
      <c r="P29" t="s">
        <v>20</v>
      </c>
      <c r="Q29">
        <v>0.47459962085806179</v>
      </c>
      <c r="R29" t="s">
        <v>20</v>
      </c>
      <c r="S29">
        <v>1.4038635262531815E-2</v>
      </c>
      <c r="T29" t="s">
        <v>20</v>
      </c>
      <c r="U29">
        <v>1.8757561194424892E-2</v>
      </c>
      <c r="X29" t="s">
        <v>19</v>
      </c>
      <c r="Y29">
        <v>4.9409885406494141</v>
      </c>
      <c r="Z29" t="s">
        <v>19</v>
      </c>
      <c r="AA29">
        <v>5046.5955432815626</v>
      </c>
      <c r="AB29" t="s">
        <v>19</v>
      </c>
      <c r="AC29">
        <v>0.77064931392669678</v>
      </c>
      <c r="AD29" t="s">
        <v>19</v>
      </c>
      <c r="AE29">
        <v>62.289285114833284</v>
      </c>
      <c r="AF29" t="s">
        <v>19</v>
      </c>
      <c r="AG29">
        <v>0.66210653313568657</v>
      </c>
      <c r="AH29" t="s">
        <v>19</v>
      </c>
      <c r="AI29">
        <v>-0.17482528037258557</v>
      </c>
    </row>
    <row r="30" spans="1:35">
      <c r="A30" s="33" t="s">
        <v>8</v>
      </c>
      <c r="B30" s="32">
        <v>2006</v>
      </c>
      <c r="C30" s="30">
        <v>3.6751084327697754</v>
      </c>
      <c r="D30" s="31">
        <v>2554.8125350391365</v>
      </c>
      <c r="E30" s="30">
        <v>0.64663594961166382</v>
      </c>
      <c r="F30" s="30">
        <v>63.299999237060547</v>
      </c>
      <c r="G30" s="30">
        <v>0.55259263515472412</v>
      </c>
      <c r="H30" s="30">
        <v>-0.27255910634994507</v>
      </c>
      <c r="J30" t="s">
        <v>21</v>
      </c>
      <c r="K30">
        <v>5.525338888168335</v>
      </c>
      <c r="L30" t="s">
        <v>21</v>
      </c>
      <c r="M30">
        <v>9423.6086514815124</v>
      </c>
      <c r="N30" t="s">
        <v>21</v>
      </c>
      <c r="O30">
        <v>0.90468534827232361</v>
      </c>
      <c r="P30" t="s">
        <v>21</v>
      </c>
      <c r="Q30">
        <v>61.600000381469727</v>
      </c>
      <c r="R30" t="s">
        <v>21</v>
      </c>
      <c r="S30">
        <v>0.65228688716888428</v>
      </c>
      <c r="T30" t="s">
        <v>21</v>
      </c>
      <c r="U30">
        <v>-0.28671875596046448</v>
      </c>
      <c r="X30" t="s">
        <v>20</v>
      </c>
      <c r="Y30">
        <v>9.4860171474589028E-2</v>
      </c>
      <c r="Z30" t="s">
        <v>20</v>
      </c>
      <c r="AA30">
        <v>145.93265754021709</v>
      </c>
      <c r="AB30" t="s">
        <v>20</v>
      </c>
      <c r="AC30">
        <v>1.4840842340312466E-2</v>
      </c>
      <c r="AD30" t="s">
        <v>20</v>
      </c>
      <c r="AE30">
        <v>0.2734710028565972</v>
      </c>
      <c r="AF30" t="s">
        <v>20</v>
      </c>
      <c r="AG30">
        <v>3.1412810429429956E-2</v>
      </c>
      <c r="AH30" t="s">
        <v>20</v>
      </c>
      <c r="AI30">
        <v>1.693932037598779E-2</v>
      </c>
    </row>
    <row r="31" spans="1:35">
      <c r="A31" s="33" t="s">
        <v>8</v>
      </c>
      <c r="B31" s="32">
        <v>2007</v>
      </c>
      <c r="C31" s="30">
        <v>3.7071945667266846</v>
      </c>
      <c r="D31" s="31">
        <v>2891.1370233184598</v>
      </c>
      <c r="E31" s="30">
        <v>0.54836905002593994</v>
      </c>
      <c r="F31" s="30">
        <v>63.400001525878906</v>
      </c>
      <c r="G31" s="30">
        <v>0.46372252702713013</v>
      </c>
      <c r="H31" s="30">
        <v>-0.27222028374671936</v>
      </c>
      <c r="J31" t="s">
        <v>22</v>
      </c>
      <c r="K31" t="e">
        <v>#N/A</v>
      </c>
      <c r="L31" t="s">
        <v>22</v>
      </c>
      <c r="M31" t="e">
        <v>#N/A</v>
      </c>
      <c r="N31" t="s">
        <v>22</v>
      </c>
      <c r="O31" t="e">
        <v>#N/A</v>
      </c>
      <c r="P31" t="s">
        <v>22</v>
      </c>
      <c r="Q31" t="e">
        <v>#N/A</v>
      </c>
      <c r="R31" t="s">
        <v>22</v>
      </c>
      <c r="S31" t="e">
        <v>#N/A</v>
      </c>
      <c r="T31" t="s">
        <v>22</v>
      </c>
      <c r="U31" t="e">
        <v>#N/A</v>
      </c>
      <c r="X31" t="s">
        <v>21</v>
      </c>
      <c r="Y31">
        <v>5.028773307800293</v>
      </c>
      <c r="Z31" t="s">
        <v>21</v>
      </c>
      <c r="AA31">
        <v>5222.4570220767773</v>
      </c>
      <c r="AB31" t="s">
        <v>21</v>
      </c>
      <c r="AC31">
        <v>0.77348059415817261</v>
      </c>
      <c r="AD31" t="s">
        <v>21</v>
      </c>
      <c r="AE31">
        <v>62.399999618530273</v>
      </c>
      <c r="AF31" t="s">
        <v>21</v>
      </c>
      <c r="AG31">
        <v>0.69226506352424622</v>
      </c>
      <c r="AH31" t="s">
        <v>21</v>
      </c>
      <c r="AI31">
        <v>-0.20660237967967987</v>
      </c>
    </row>
    <row r="32" spans="1:35">
      <c r="A32" s="33" t="s">
        <v>8</v>
      </c>
      <c r="B32" s="32">
        <v>2008</v>
      </c>
      <c r="C32" s="30">
        <v>4.156090259552002</v>
      </c>
      <c r="D32" s="31">
        <v>2970.1585828242805</v>
      </c>
      <c r="E32" s="30">
        <v>0.6075127124786377</v>
      </c>
      <c r="F32" s="30">
        <v>63.5</v>
      </c>
      <c r="G32" s="30">
        <v>0.61399739980697632</v>
      </c>
      <c r="H32" s="30">
        <v>-0.22981572151184082</v>
      </c>
      <c r="J32" t="s">
        <v>23</v>
      </c>
      <c r="K32">
        <v>0.30377165571726777</v>
      </c>
      <c r="L32" t="s">
        <v>23</v>
      </c>
      <c r="M32">
        <v>591.62900159294986</v>
      </c>
      <c r="N32" t="s">
        <v>23</v>
      </c>
      <c r="O32">
        <v>1.5756888096449206E-2</v>
      </c>
      <c r="P32" t="s">
        <v>23</v>
      </c>
      <c r="Q32">
        <v>1.7757891771436789</v>
      </c>
      <c r="R32" t="s">
        <v>23</v>
      </c>
      <c r="S32">
        <v>5.2527763330277297E-2</v>
      </c>
      <c r="T32" t="s">
        <v>23</v>
      </c>
      <c r="U32">
        <v>7.0184367400984132E-2</v>
      </c>
      <c r="X32" t="s">
        <v>23</v>
      </c>
      <c r="Y32">
        <v>0.35493426130853878</v>
      </c>
      <c r="Z32" t="s">
        <v>23</v>
      </c>
      <c r="AA32">
        <v>546.03000605690522</v>
      </c>
      <c r="AB32" t="s">
        <v>23</v>
      </c>
      <c r="AC32">
        <v>5.5529347368577606E-2</v>
      </c>
      <c r="AD32" t="s">
        <v>23</v>
      </c>
      <c r="AE32">
        <v>1.0232347979068646</v>
      </c>
      <c r="AF32" t="s">
        <v>23</v>
      </c>
      <c r="AG32">
        <v>0.11753597418260611</v>
      </c>
      <c r="AH32" t="s">
        <v>23</v>
      </c>
      <c r="AI32">
        <v>6.3381133211745058E-2</v>
      </c>
    </row>
    <row r="33" spans="1:35">
      <c r="A33" s="33" t="s">
        <v>8</v>
      </c>
      <c r="B33" s="32">
        <v>2009</v>
      </c>
      <c r="C33" s="30">
        <v>3.8006391525268555</v>
      </c>
      <c r="D33" s="31">
        <v>2887.256079359217</v>
      </c>
      <c r="E33" s="30">
        <v>0.54351305961608887</v>
      </c>
      <c r="F33" s="30">
        <v>63.599998474121094</v>
      </c>
      <c r="G33" s="30">
        <v>0.49531400203704834</v>
      </c>
      <c r="H33" s="30">
        <v>-0.23808903992176056</v>
      </c>
      <c r="J33" t="s">
        <v>24</v>
      </c>
      <c r="K33">
        <v>9.227721881721028E-2</v>
      </c>
      <c r="L33" t="s">
        <v>24</v>
      </c>
      <c r="M33">
        <v>350024.87552587071</v>
      </c>
      <c r="N33" t="s">
        <v>24</v>
      </c>
      <c r="O33">
        <v>2.4827952248402269E-4</v>
      </c>
      <c r="P33" t="s">
        <v>24</v>
      </c>
      <c r="Q33">
        <v>3.153427201660624</v>
      </c>
      <c r="R33" t="s">
        <v>24</v>
      </c>
      <c r="S33">
        <v>2.7591659204816246E-3</v>
      </c>
      <c r="T33" t="s">
        <v>24</v>
      </c>
      <c r="U33">
        <v>4.925845427476325E-3</v>
      </c>
      <c r="X33" t="s">
        <v>24</v>
      </c>
      <c r="Y33">
        <v>0.12597832985063809</v>
      </c>
      <c r="Z33" t="s">
        <v>24</v>
      </c>
      <c r="AA33">
        <v>298148.76751450391</v>
      </c>
      <c r="AB33" t="s">
        <v>24</v>
      </c>
      <c r="AC33">
        <v>3.0835084191801563E-3</v>
      </c>
      <c r="AD33" t="s">
        <v>24</v>
      </c>
      <c r="AE33">
        <v>1.0470094516475021</v>
      </c>
      <c r="AF33" t="s">
        <v>24</v>
      </c>
      <c r="AG33">
        <v>1.381470522705425E-2</v>
      </c>
      <c r="AH33" t="s">
        <v>24</v>
      </c>
      <c r="AI33">
        <v>4.0171680472049732E-3</v>
      </c>
    </row>
    <row r="34" spans="1:35">
      <c r="A34" s="33" t="s">
        <v>8</v>
      </c>
      <c r="B34" s="32">
        <v>2010</v>
      </c>
      <c r="C34" s="30">
        <v>4.101837158203125</v>
      </c>
      <c r="D34" s="31">
        <v>3090.0651366231846</v>
      </c>
      <c r="E34" s="30">
        <v>0.54038894176483154</v>
      </c>
      <c r="F34" s="30">
        <v>63.700000762939453</v>
      </c>
      <c r="G34" s="30">
        <v>0.5578579306602478</v>
      </c>
      <c r="H34" s="30">
        <v>-0.25316470861434937</v>
      </c>
      <c r="J34" t="s">
        <v>25</v>
      </c>
      <c r="K34">
        <v>-0.15597087081113692</v>
      </c>
      <c r="L34" t="s">
        <v>25</v>
      </c>
      <c r="M34">
        <v>3.4764639238469286E-2</v>
      </c>
      <c r="N34" t="s">
        <v>25</v>
      </c>
      <c r="O34">
        <v>-0.62539550960060586</v>
      </c>
      <c r="P34" t="s">
        <v>25</v>
      </c>
      <c r="Q34">
        <v>-1.2481880573567197</v>
      </c>
      <c r="R34" t="s">
        <v>25</v>
      </c>
      <c r="S34">
        <v>-1.6130425701429028</v>
      </c>
      <c r="T34" t="s">
        <v>25</v>
      </c>
      <c r="U34">
        <v>-1.3424399735402637</v>
      </c>
      <c r="X34" t="s">
        <v>25</v>
      </c>
      <c r="Y34">
        <v>-0.46441839167405075</v>
      </c>
      <c r="Z34" t="s">
        <v>25</v>
      </c>
      <c r="AA34">
        <v>4.5722781652468365</v>
      </c>
      <c r="AB34" t="s">
        <v>25</v>
      </c>
      <c r="AC34">
        <v>0.56409275823664018</v>
      </c>
      <c r="AD34" t="s">
        <v>25</v>
      </c>
      <c r="AE34">
        <v>-1.3145525513802498</v>
      </c>
      <c r="AF34" t="s">
        <v>25</v>
      </c>
      <c r="AG34">
        <v>-1.3600569217097251</v>
      </c>
      <c r="AH34" t="s">
        <v>25</v>
      </c>
      <c r="AI34">
        <v>0.10179248358543358</v>
      </c>
    </row>
    <row r="35" spans="1:35">
      <c r="A35" s="33" t="s">
        <v>8</v>
      </c>
      <c r="B35" s="32">
        <v>2011</v>
      </c>
      <c r="C35" s="30">
        <v>4.2030305862426758</v>
      </c>
      <c r="D35" s="31">
        <v>3362.1030031967971</v>
      </c>
      <c r="E35" s="30">
        <v>0.50293737649917603</v>
      </c>
      <c r="F35" s="30">
        <v>63.799999237060547</v>
      </c>
      <c r="G35" s="30">
        <v>0.63246452808380127</v>
      </c>
      <c r="H35" s="30">
        <v>-0.26043832302093506</v>
      </c>
      <c r="J35" t="s">
        <v>26</v>
      </c>
      <c r="K35">
        <v>8.1558032724143886E-2</v>
      </c>
      <c r="L35" t="s">
        <v>26</v>
      </c>
      <c r="M35">
        <v>-0.78267658903890358</v>
      </c>
      <c r="N35" t="s">
        <v>26</v>
      </c>
      <c r="O35">
        <v>0.26583263937327745</v>
      </c>
      <c r="P35" t="s">
        <v>26</v>
      </c>
      <c r="Q35">
        <v>-8.23363648828105E-2</v>
      </c>
      <c r="R35" t="s">
        <v>26</v>
      </c>
      <c r="S35">
        <v>0.19136047954425073</v>
      </c>
      <c r="T35" t="s">
        <v>26</v>
      </c>
      <c r="U35">
        <v>0.73707704418407705</v>
      </c>
      <c r="X35" t="s">
        <v>26</v>
      </c>
      <c r="Y35">
        <v>-0.46129194932239087</v>
      </c>
      <c r="Z35" t="s">
        <v>26</v>
      </c>
      <c r="AA35">
        <v>-2.0937931883860834</v>
      </c>
      <c r="AB35" t="s">
        <v>26</v>
      </c>
      <c r="AC35">
        <v>0.42699547103251739</v>
      </c>
      <c r="AD35" t="s">
        <v>26</v>
      </c>
      <c r="AE35">
        <v>-0.30938473096047581</v>
      </c>
      <c r="AF35" t="s">
        <v>26</v>
      </c>
      <c r="AG35">
        <v>-0.11740424385097804</v>
      </c>
      <c r="AH35" t="s">
        <v>26</v>
      </c>
      <c r="AI35">
        <v>0.99929437409920441</v>
      </c>
    </row>
    <row r="36" spans="1:35">
      <c r="A36" s="33" t="s">
        <v>8</v>
      </c>
      <c r="B36" s="32">
        <v>2012</v>
      </c>
      <c r="C36" s="30">
        <v>4.2544455528259277</v>
      </c>
      <c r="D36" s="31">
        <v>3609.7807986259963</v>
      </c>
      <c r="E36" s="30">
        <v>0.53258645534515381</v>
      </c>
      <c r="F36" s="30">
        <v>63.900001525878906</v>
      </c>
      <c r="G36" s="30">
        <v>0.65872400999069214</v>
      </c>
      <c r="H36" s="30">
        <v>-0.27456489205360413</v>
      </c>
      <c r="J36" t="s">
        <v>27</v>
      </c>
      <c r="K36">
        <v>1.0732340812683105</v>
      </c>
      <c r="L36" t="s">
        <v>27</v>
      </c>
      <c r="M36">
        <v>2098.355085984469</v>
      </c>
      <c r="N36" t="s">
        <v>27</v>
      </c>
      <c r="O36">
        <v>5.0898432731628418E-2</v>
      </c>
      <c r="P36" t="s">
        <v>27</v>
      </c>
      <c r="Q36">
        <v>5.4599952697753906</v>
      </c>
      <c r="R36" t="s">
        <v>27</v>
      </c>
      <c r="S36">
        <v>0.15176236629486084</v>
      </c>
      <c r="T36" t="s">
        <v>27</v>
      </c>
      <c r="U36">
        <v>0.19014807790517807</v>
      </c>
      <c r="X36" t="s">
        <v>27</v>
      </c>
      <c r="Y36">
        <v>1.2625675201416016</v>
      </c>
      <c r="Z36" t="s">
        <v>27</v>
      </c>
      <c r="AA36">
        <v>2005.0168709971595</v>
      </c>
      <c r="AB36" t="s">
        <v>27</v>
      </c>
      <c r="AC36">
        <v>0.20248919725418091</v>
      </c>
      <c r="AD36" t="s">
        <v>27</v>
      </c>
      <c r="AE36">
        <v>3.0199966430664063</v>
      </c>
      <c r="AF36" t="s">
        <v>27</v>
      </c>
      <c r="AG36">
        <v>0.35611012578010559</v>
      </c>
      <c r="AH36" t="s">
        <v>27</v>
      </c>
      <c r="AI36">
        <v>0.20543340593576431</v>
      </c>
    </row>
    <row r="37" spans="1:35">
      <c r="A37" s="33" t="s">
        <v>8</v>
      </c>
      <c r="B37" s="32">
        <v>2013</v>
      </c>
      <c r="C37" s="30">
        <v>4.3489208221435547</v>
      </c>
      <c r="D37" s="31">
        <v>3806.5060064905138</v>
      </c>
      <c r="E37" s="30">
        <v>0.55916577577590942</v>
      </c>
      <c r="F37" s="30">
        <v>64</v>
      </c>
      <c r="G37" s="30">
        <v>0.72212761640548706</v>
      </c>
      <c r="H37" s="30">
        <v>-0.2596762478351593</v>
      </c>
      <c r="J37" t="s">
        <v>28</v>
      </c>
      <c r="K37">
        <v>4.963742733001709</v>
      </c>
      <c r="L37" t="s">
        <v>28</v>
      </c>
      <c r="M37">
        <v>7949.8968790137515</v>
      </c>
      <c r="N37" t="s">
        <v>28</v>
      </c>
      <c r="O37">
        <v>0.88085699081420898</v>
      </c>
      <c r="P37" t="s">
        <v>28</v>
      </c>
      <c r="Q37">
        <v>58.740001678466797</v>
      </c>
      <c r="R37" t="s">
        <v>28</v>
      </c>
      <c r="S37">
        <v>0.59256970882415771</v>
      </c>
      <c r="T37" t="s">
        <v>28</v>
      </c>
      <c r="U37">
        <v>-0.31214404106140137</v>
      </c>
      <c r="X37" t="s">
        <v>28</v>
      </c>
      <c r="Y37">
        <v>4.2186107635498047</v>
      </c>
      <c r="Z37" t="s">
        <v>28</v>
      </c>
      <c r="AA37">
        <v>3501.1648250060261</v>
      </c>
      <c r="AB37" t="s">
        <v>28</v>
      </c>
      <c r="AC37">
        <v>0.68426722288131714</v>
      </c>
      <c r="AD37" t="s">
        <v>28</v>
      </c>
      <c r="AE37">
        <v>60.580001831054688</v>
      </c>
      <c r="AF37" t="s">
        <v>28</v>
      </c>
      <c r="AG37">
        <v>0.49813839793205261</v>
      </c>
      <c r="AH37" t="s">
        <v>28</v>
      </c>
      <c r="AI37">
        <v>-0.2392495721578598</v>
      </c>
    </row>
    <row r="38" spans="1:35">
      <c r="A38" s="33" t="s">
        <v>8</v>
      </c>
      <c r="B38" s="32">
        <v>2014</v>
      </c>
      <c r="C38" s="30">
        <v>4.2875080108642578</v>
      </c>
      <c r="D38" s="31">
        <v>3960.3508009190073</v>
      </c>
      <c r="E38" s="30">
        <v>0.55842000246047974</v>
      </c>
      <c r="F38" s="30">
        <v>64.099998474121094</v>
      </c>
      <c r="G38" s="30">
        <v>0.71978116035461426</v>
      </c>
      <c r="H38" s="30">
        <v>-0.23858177661895752</v>
      </c>
      <c r="J38" t="s">
        <v>29</v>
      </c>
      <c r="K38">
        <v>6.0369768142700195</v>
      </c>
      <c r="L38" t="s">
        <v>29</v>
      </c>
      <c r="M38">
        <v>10048.251964998221</v>
      </c>
      <c r="N38" t="s">
        <v>29</v>
      </c>
      <c r="O38">
        <v>0.9317554235458374</v>
      </c>
      <c r="P38" t="s">
        <v>29</v>
      </c>
      <c r="Q38">
        <v>64.199996948242188</v>
      </c>
      <c r="R38" t="s">
        <v>29</v>
      </c>
      <c r="S38">
        <v>0.74433207511901855</v>
      </c>
      <c r="T38" t="s">
        <v>29</v>
      </c>
      <c r="U38">
        <v>-0.1219959631562233</v>
      </c>
      <c r="X38" t="s">
        <v>29</v>
      </c>
      <c r="Y38">
        <v>5.4811782836914063</v>
      </c>
      <c r="Z38" t="s">
        <v>29</v>
      </c>
      <c r="AA38">
        <v>5506.1816960031856</v>
      </c>
      <c r="AB38" t="s">
        <v>29</v>
      </c>
      <c r="AC38">
        <v>0.88675642013549805</v>
      </c>
      <c r="AD38" t="s">
        <v>29</v>
      </c>
      <c r="AE38">
        <v>63.599998474121094</v>
      </c>
      <c r="AF38" t="s">
        <v>29</v>
      </c>
      <c r="AG38">
        <v>0.8542485237121582</v>
      </c>
      <c r="AH38" t="s">
        <v>29</v>
      </c>
      <c r="AI38">
        <v>-3.381616622209549E-2</v>
      </c>
    </row>
    <row r="39" spans="1:35">
      <c r="A39" s="33" t="s">
        <v>8</v>
      </c>
      <c r="B39" s="32">
        <v>2015</v>
      </c>
      <c r="C39" s="30">
        <v>4.1219406127929688</v>
      </c>
      <c r="D39" s="31">
        <v>4086.6223465964995</v>
      </c>
      <c r="E39" s="30">
        <v>0.51737159490585327</v>
      </c>
      <c r="F39" s="30">
        <v>64.199996948242188</v>
      </c>
      <c r="G39" s="30">
        <v>0.63994497060775757</v>
      </c>
      <c r="H39" s="30">
        <v>-0.21042811870574951</v>
      </c>
      <c r="J39" t="s">
        <v>31</v>
      </c>
      <c r="K39">
        <v>77.315272808074951</v>
      </c>
      <c r="L39" t="s">
        <v>31</v>
      </c>
      <c r="M39">
        <v>128956.17538956171</v>
      </c>
      <c r="N39" t="s">
        <v>31</v>
      </c>
      <c r="O39">
        <v>12.626160979270935</v>
      </c>
      <c r="P39" t="s">
        <v>31</v>
      </c>
      <c r="Q39">
        <v>861.75</v>
      </c>
      <c r="R39" t="s">
        <v>31</v>
      </c>
      <c r="S39">
        <v>9.3234632611274719</v>
      </c>
      <c r="T39" t="s">
        <v>31</v>
      </c>
      <c r="U39">
        <v>-3.4401082322001457</v>
      </c>
      <c r="X39" t="s">
        <v>31</v>
      </c>
      <c r="Y39">
        <v>69.173839569091797</v>
      </c>
      <c r="Z39" t="s">
        <v>31</v>
      </c>
      <c r="AA39">
        <v>70652.337605941881</v>
      </c>
      <c r="AB39" t="s">
        <v>31</v>
      </c>
      <c r="AC39">
        <v>10.789090394973755</v>
      </c>
      <c r="AD39" t="s">
        <v>31</v>
      </c>
      <c r="AE39">
        <v>872.04999160766602</v>
      </c>
      <c r="AF39" t="s">
        <v>31</v>
      </c>
      <c r="AG39">
        <v>9.2694914638996124</v>
      </c>
      <c r="AH39" t="s">
        <v>31</v>
      </c>
      <c r="AI39">
        <v>-2.447553925216198</v>
      </c>
    </row>
    <row r="40" spans="1:35">
      <c r="A40" s="33" t="s">
        <v>8</v>
      </c>
      <c r="B40" s="32">
        <v>2016</v>
      </c>
      <c r="C40" s="30">
        <v>4.4483861923217773</v>
      </c>
      <c r="D40" s="31">
        <v>4225.0915490480565</v>
      </c>
      <c r="E40" s="30">
        <v>0.53341227769851685</v>
      </c>
      <c r="F40" s="30">
        <v>64.324996948242188</v>
      </c>
      <c r="G40" s="30">
        <v>0.60646837949752808</v>
      </c>
      <c r="H40" s="30">
        <v>-0.25481438636779785</v>
      </c>
      <c r="J40" t="s">
        <v>32</v>
      </c>
      <c r="K40">
        <v>14</v>
      </c>
      <c r="L40" t="s">
        <v>32</v>
      </c>
      <c r="M40">
        <v>14</v>
      </c>
      <c r="N40" t="s">
        <v>32</v>
      </c>
      <c r="O40">
        <v>14</v>
      </c>
      <c r="P40" t="s">
        <v>32</v>
      </c>
      <c r="Q40">
        <v>14</v>
      </c>
      <c r="R40" t="s">
        <v>32</v>
      </c>
      <c r="S40">
        <v>14</v>
      </c>
      <c r="T40" t="s">
        <v>32</v>
      </c>
      <c r="U40">
        <v>14</v>
      </c>
      <c r="X40" t="s">
        <v>32</v>
      </c>
      <c r="Y40">
        <v>14</v>
      </c>
      <c r="Z40" t="s">
        <v>32</v>
      </c>
      <c r="AA40">
        <v>14</v>
      </c>
      <c r="AB40" t="s">
        <v>32</v>
      </c>
      <c r="AC40">
        <v>14</v>
      </c>
      <c r="AD40" t="s">
        <v>32</v>
      </c>
      <c r="AE40">
        <v>14</v>
      </c>
      <c r="AF40" t="s">
        <v>32</v>
      </c>
      <c r="AG40">
        <v>14</v>
      </c>
      <c r="AH40" t="s">
        <v>32</v>
      </c>
      <c r="AI40">
        <v>14</v>
      </c>
    </row>
    <row r="41" spans="1:35">
      <c r="A41" s="33" t="s">
        <v>8</v>
      </c>
      <c r="B41" s="32">
        <v>2017</v>
      </c>
      <c r="C41" s="30">
        <v>4.4507746696472168</v>
      </c>
      <c r="D41" s="31">
        <v>4442.5074412737404</v>
      </c>
      <c r="E41" s="30">
        <v>0.59049516916275024</v>
      </c>
      <c r="F41" s="30">
        <v>64.449996948242188</v>
      </c>
      <c r="G41" s="30">
        <v>0.82090878486633301</v>
      </c>
      <c r="H41" s="30">
        <v>-0.2495434433221817</v>
      </c>
      <c r="J41" t="s">
        <v>33</v>
      </c>
      <c r="K41">
        <v>6.0369768142700195</v>
      </c>
      <c r="L41" t="s">
        <v>33</v>
      </c>
      <c r="M41">
        <v>10048.251964998221</v>
      </c>
      <c r="N41" t="s">
        <v>33</v>
      </c>
      <c r="O41">
        <v>0.9317554235458374</v>
      </c>
      <c r="P41" t="s">
        <v>33</v>
      </c>
      <c r="Q41">
        <v>64.199996948242188</v>
      </c>
      <c r="R41" t="s">
        <v>33</v>
      </c>
      <c r="S41">
        <v>0.74433207511901855</v>
      </c>
      <c r="T41" t="s">
        <v>33</v>
      </c>
      <c r="U41">
        <v>-0.1219959631562233</v>
      </c>
      <c r="X41" t="s">
        <v>33</v>
      </c>
      <c r="Y41">
        <v>5.4811782836914063</v>
      </c>
      <c r="Z41" t="s">
        <v>33</v>
      </c>
      <c r="AA41">
        <v>5506.1816960031856</v>
      </c>
      <c r="AB41" t="s">
        <v>33</v>
      </c>
      <c r="AC41">
        <v>0.88675642013549805</v>
      </c>
      <c r="AD41" t="s">
        <v>33</v>
      </c>
      <c r="AE41">
        <v>63.599998474121094</v>
      </c>
      <c r="AF41" t="s">
        <v>33</v>
      </c>
      <c r="AG41">
        <v>0.8542485237121582</v>
      </c>
      <c r="AH41" t="s">
        <v>33</v>
      </c>
      <c r="AI41">
        <v>-3.381616622209549E-2</v>
      </c>
    </row>
    <row r="42" spans="1:35">
      <c r="A42" s="33" t="s">
        <v>8</v>
      </c>
      <c r="B42" s="32">
        <v>2018</v>
      </c>
      <c r="C42" s="30">
        <v>4.6590971946716309</v>
      </c>
      <c r="D42" s="31">
        <v>4713.6535484530314</v>
      </c>
      <c r="E42" s="30">
        <v>0.61721855401992798</v>
      </c>
      <c r="F42" s="30">
        <v>64.574996948242188</v>
      </c>
      <c r="G42" s="30">
        <v>0.77514410018920898</v>
      </c>
      <c r="H42" s="30">
        <v>-0.23838350176811218</v>
      </c>
      <c r="J42" t="s">
        <v>34</v>
      </c>
      <c r="K42">
        <v>4.963742733001709</v>
      </c>
      <c r="L42" t="s">
        <v>34</v>
      </c>
      <c r="M42">
        <v>7949.8968790137515</v>
      </c>
      <c r="N42" t="s">
        <v>34</v>
      </c>
      <c r="O42">
        <v>0.88085699081420898</v>
      </c>
      <c r="P42" t="s">
        <v>34</v>
      </c>
      <c r="Q42">
        <v>58.740001678466797</v>
      </c>
      <c r="R42" t="s">
        <v>34</v>
      </c>
      <c r="S42">
        <v>0.59256970882415771</v>
      </c>
      <c r="T42" t="s">
        <v>34</v>
      </c>
      <c r="U42">
        <v>-0.31214404106140137</v>
      </c>
      <c r="X42" t="s">
        <v>34</v>
      </c>
      <c r="Y42">
        <v>4.2186107635498047</v>
      </c>
      <c r="Z42" t="s">
        <v>34</v>
      </c>
      <c r="AA42">
        <v>3501.1648250060261</v>
      </c>
      <c r="AB42" t="s">
        <v>34</v>
      </c>
      <c r="AC42">
        <v>0.68426722288131714</v>
      </c>
      <c r="AD42" t="s">
        <v>34</v>
      </c>
      <c r="AE42">
        <v>60.580001831054688</v>
      </c>
      <c r="AF42" t="s">
        <v>34</v>
      </c>
      <c r="AG42">
        <v>0.49813839793205261</v>
      </c>
      <c r="AH42" t="s">
        <v>34</v>
      </c>
      <c r="AI42">
        <v>-0.2392495721578598</v>
      </c>
    </row>
    <row r="43" spans="1:35" ht="15.75" thickBot="1">
      <c r="A43" s="33" t="s">
        <v>8</v>
      </c>
      <c r="B43" s="32">
        <v>2019</v>
      </c>
      <c r="C43" s="30">
        <v>4.8918356895446777</v>
      </c>
      <c r="D43" s="31">
        <v>4975.8114819481389</v>
      </c>
      <c r="E43" s="30">
        <v>0.67497605085372925</v>
      </c>
      <c r="F43" s="30">
        <v>64.699996948242188</v>
      </c>
      <c r="G43" s="30">
        <v>0.81053411960601807</v>
      </c>
      <c r="H43" s="30">
        <v>-0.26528984308242798</v>
      </c>
      <c r="J43" s="12" t="s">
        <v>35</v>
      </c>
      <c r="K43" s="12">
        <v>0.17539253221129852</v>
      </c>
      <c r="L43" s="12" t="s">
        <v>35</v>
      </c>
      <c r="M43" s="12">
        <v>341.59641548522274</v>
      </c>
      <c r="N43" s="12" t="s">
        <v>35</v>
      </c>
      <c r="O43" s="12">
        <v>9.0977563277941983E-3</v>
      </c>
      <c r="P43" s="12" t="s">
        <v>35</v>
      </c>
      <c r="Q43" s="12">
        <v>1.0253101452708813</v>
      </c>
      <c r="R43" s="12" t="s">
        <v>35</v>
      </c>
      <c r="S43" s="12">
        <v>3.0328627600687028E-2</v>
      </c>
      <c r="T43" s="12" t="s">
        <v>35</v>
      </c>
      <c r="U43" s="12">
        <v>4.05232472761183E-2</v>
      </c>
      <c r="X43" s="12" t="s">
        <v>36</v>
      </c>
      <c r="Y43" s="12">
        <v>0.20493294120038794</v>
      </c>
      <c r="Z43" s="12" t="s">
        <v>36</v>
      </c>
      <c r="AA43" s="12">
        <v>315.26833930420349</v>
      </c>
      <c r="AB43" s="12" t="s">
        <v>36</v>
      </c>
      <c r="AC43" s="12">
        <v>3.2061690627516952E-2</v>
      </c>
      <c r="AD43" s="12" t="s">
        <v>36</v>
      </c>
      <c r="AE43" s="12">
        <v>0.59079818302283915</v>
      </c>
      <c r="AF43" s="12" t="s">
        <v>36</v>
      </c>
      <c r="AG43" s="12">
        <v>6.7863251063147972E-2</v>
      </c>
      <c r="AH43" s="12" t="s">
        <v>36</v>
      </c>
      <c r="AI43" s="12">
        <v>3.6595176802065532E-2</v>
      </c>
    </row>
    <row r="44" spans="1:35">
      <c r="A44" s="33" t="s">
        <v>37</v>
      </c>
      <c r="B44" s="32">
        <v>2006</v>
      </c>
      <c r="C44" s="30">
        <v>4.963742733001709</v>
      </c>
      <c r="D44" s="31">
        <v>7949.8968790137515</v>
      </c>
      <c r="E44" s="30">
        <v>0.89470738172531128</v>
      </c>
      <c r="F44" s="30">
        <v>58.740001678466797</v>
      </c>
      <c r="G44" s="30">
        <v>0.64338821172714233</v>
      </c>
      <c r="H44" s="30">
        <v>-0.31214404106140137</v>
      </c>
    </row>
    <row r="45" spans="1:35">
      <c r="A45" s="33" t="s">
        <v>37</v>
      </c>
      <c r="B45" s="32">
        <v>2007</v>
      </c>
      <c r="C45" s="30">
        <v>5.222867488861084</v>
      </c>
      <c r="D45" s="31">
        <v>8640.4058908334118</v>
      </c>
      <c r="E45" s="30">
        <v>0.88465636968612671</v>
      </c>
      <c r="F45" s="30">
        <v>59.180000305175781</v>
      </c>
      <c r="G45" s="30">
        <v>0.59256970882415771</v>
      </c>
      <c r="H45" s="30">
        <v>-0.28935009241104126</v>
      </c>
      <c r="J45" s="7"/>
    </row>
    <row r="46" spans="1:35" ht="15.75">
      <c r="A46" s="33" t="s">
        <v>37</v>
      </c>
      <c r="B46" s="32">
        <v>2008</v>
      </c>
      <c r="C46" s="30">
        <v>5.6187539100646973</v>
      </c>
      <c r="D46" s="31">
        <v>9093.7000771478979</v>
      </c>
      <c r="E46" s="30">
        <v>0.88231617212295532</v>
      </c>
      <c r="F46" s="30">
        <v>59.619998931884766</v>
      </c>
      <c r="G46" s="30">
        <v>0.64277827739715576</v>
      </c>
      <c r="H46" s="30">
        <v>-0.31063604354858398</v>
      </c>
      <c r="J46" s="7"/>
      <c r="K46" s="34" t="s">
        <v>45</v>
      </c>
    </row>
    <row r="47" spans="1:35" ht="15.75" thickBot="1">
      <c r="A47" s="33" t="s">
        <v>37</v>
      </c>
      <c r="B47" s="32">
        <v>2009</v>
      </c>
      <c r="C47" s="30">
        <v>5.1582279205322266</v>
      </c>
      <c r="D47" s="31">
        <v>8381.8681106956574</v>
      </c>
      <c r="E47" s="30">
        <v>0.90807557106018066</v>
      </c>
      <c r="F47" s="30">
        <v>60.060001373291016</v>
      </c>
      <c r="G47" s="30">
        <v>0.61711513996124268</v>
      </c>
      <c r="H47" s="30">
        <v>-0.28898179531097412</v>
      </c>
      <c r="J47" s="7"/>
    </row>
    <row r="48" spans="1:35">
      <c r="A48" s="33" t="s">
        <v>37</v>
      </c>
      <c r="B48" s="32">
        <v>2010</v>
      </c>
      <c r="C48" s="30">
        <v>5.3847732543945313</v>
      </c>
      <c r="D48" s="31">
        <v>8755.120551409389</v>
      </c>
      <c r="E48" s="30">
        <v>0.9088141918182373</v>
      </c>
      <c r="F48" s="30">
        <v>60.5</v>
      </c>
      <c r="G48" s="30">
        <v>0.61315900087356567</v>
      </c>
      <c r="H48" s="30">
        <v>-0.30197861790657043</v>
      </c>
      <c r="J48" s="19" t="s">
        <v>2</v>
      </c>
      <c r="K48" s="19"/>
      <c r="L48" s="19" t="s">
        <v>3</v>
      </c>
      <c r="M48" s="19"/>
      <c r="N48" s="19" t="s">
        <v>4</v>
      </c>
      <c r="O48" s="19"/>
      <c r="P48" s="19" t="s">
        <v>12</v>
      </c>
      <c r="Q48" s="19"/>
      <c r="R48" s="19" t="s">
        <v>46</v>
      </c>
      <c r="S48" s="19"/>
      <c r="T48" s="19" t="s">
        <v>7</v>
      </c>
      <c r="U48" s="19"/>
    </row>
    <row r="49" spans="1:21">
      <c r="A49" s="33" t="s">
        <v>37</v>
      </c>
      <c r="B49" s="32">
        <v>2011</v>
      </c>
      <c r="C49" s="30">
        <v>5.3887662887573242</v>
      </c>
      <c r="D49" s="31">
        <v>9120.8202111659484</v>
      </c>
      <c r="E49" s="30">
        <v>0.88341689109802246</v>
      </c>
      <c r="F49" s="30">
        <v>60.939998626708984</v>
      </c>
      <c r="G49" s="30">
        <v>0.62584757804870605</v>
      </c>
      <c r="H49" s="30">
        <v>-0.28445571660995483</v>
      </c>
    </row>
    <row r="50" spans="1:21">
      <c r="A50" s="33" t="s">
        <v>37</v>
      </c>
      <c r="B50" s="32">
        <v>2012</v>
      </c>
      <c r="C50" s="30">
        <v>5.6207356452941895</v>
      </c>
      <c r="D50" s="31">
        <v>9464.0107485263998</v>
      </c>
      <c r="E50" s="30">
        <v>0.90129512548446655</v>
      </c>
      <c r="F50" s="30">
        <v>61.380001068115234</v>
      </c>
      <c r="G50" s="30">
        <v>0.60910415649414063</v>
      </c>
      <c r="H50" s="30">
        <v>-0.29825288057327271</v>
      </c>
      <c r="J50" t="s">
        <v>19</v>
      </c>
      <c r="K50">
        <v>4.7997616657188962</v>
      </c>
      <c r="L50" t="s">
        <v>19</v>
      </c>
      <c r="M50">
        <v>5309.0267581829412</v>
      </c>
      <c r="N50" t="s">
        <v>19</v>
      </c>
      <c r="O50">
        <v>0.74015956904206959</v>
      </c>
      <c r="P50" t="s">
        <v>19</v>
      </c>
      <c r="Q50">
        <v>63.308928149087087</v>
      </c>
      <c r="R50" t="s">
        <v>19</v>
      </c>
      <c r="S50">
        <v>0.63492155979786602</v>
      </c>
      <c r="T50" t="s">
        <v>19</v>
      </c>
      <c r="U50">
        <v>-0.21931607675339496</v>
      </c>
    </row>
    <row r="51" spans="1:21">
      <c r="A51" s="33" t="s">
        <v>37</v>
      </c>
      <c r="B51" s="32">
        <v>2013</v>
      </c>
      <c r="C51" s="30">
        <v>5.537177562713623</v>
      </c>
      <c r="D51" s="31">
        <v>9601.5366512921228</v>
      </c>
      <c r="E51" s="30">
        <v>0.88085699081420898</v>
      </c>
      <c r="F51" s="30">
        <v>61.819999694824219</v>
      </c>
      <c r="G51" s="30">
        <v>0.66118556261062622</v>
      </c>
      <c r="H51" s="30">
        <v>-0.29497125744819641</v>
      </c>
      <c r="J51" t="s">
        <v>20</v>
      </c>
      <c r="K51">
        <v>7.9876446759963832E-2</v>
      </c>
      <c r="L51" t="s">
        <v>20</v>
      </c>
      <c r="M51">
        <v>325.92624647188592</v>
      </c>
      <c r="N51" t="s">
        <v>20</v>
      </c>
      <c r="O51">
        <v>1.7036912360071738E-2</v>
      </c>
      <c r="P51" t="s">
        <v>20</v>
      </c>
      <c r="Q51">
        <v>0.25334545610853554</v>
      </c>
      <c r="R51" t="s">
        <v>20</v>
      </c>
      <c r="S51">
        <v>1.482405779008575E-2</v>
      </c>
      <c r="T51" t="s">
        <v>20</v>
      </c>
      <c r="U51">
        <v>7.7656687909002774E-3</v>
      </c>
    </row>
    <row r="52" spans="1:21">
      <c r="A52" s="33" t="s">
        <v>37</v>
      </c>
      <c r="B52" s="32">
        <v>2014</v>
      </c>
      <c r="C52" s="30">
        <v>6.0369768142700195</v>
      </c>
      <c r="D52" s="31">
        <v>9643.288481520909</v>
      </c>
      <c r="E52" s="30">
        <v>0.9317554235458374</v>
      </c>
      <c r="F52" s="30">
        <v>62.259998321533203</v>
      </c>
      <c r="G52" s="30">
        <v>0.74433207511901855</v>
      </c>
      <c r="H52" s="30">
        <v>-0.27019765973091125</v>
      </c>
      <c r="J52" t="s">
        <v>21</v>
      </c>
      <c r="K52">
        <v>4.7041702270507813</v>
      </c>
      <c r="L52" t="s">
        <v>21</v>
      </c>
      <c r="M52">
        <v>4567.7922604774485</v>
      </c>
      <c r="N52" t="s">
        <v>21</v>
      </c>
      <c r="O52">
        <v>0.73736691474914551</v>
      </c>
      <c r="P52" t="s">
        <v>21</v>
      </c>
      <c r="Q52">
        <v>63.549999237060547</v>
      </c>
      <c r="R52" t="s">
        <v>21</v>
      </c>
      <c r="S52">
        <v>0.62148135900497437</v>
      </c>
      <c r="T52" t="s">
        <v>21</v>
      </c>
      <c r="U52">
        <v>-0.2271827757358551</v>
      </c>
    </row>
    <row r="53" spans="1:21">
      <c r="A53" s="33" t="s">
        <v>37</v>
      </c>
      <c r="B53" s="32">
        <v>2015</v>
      </c>
      <c r="C53" s="30">
        <v>5.9955387115478516</v>
      </c>
      <c r="D53" s="31">
        <v>9426.6830247003563</v>
      </c>
      <c r="E53" s="30">
        <v>0.92436325550079346</v>
      </c>
      <c r="F53" s="30">
        <v>62.700000762939453</v>
      </c>
      <c r="G53" s="30">
        <v>0.68545472621917725</v>
      </c>
      <c r="H53" s="30">
        <v>-0.17669197916984558</v>
      </c>
      <c r="J53" t="s">
        <v>22</v>
      </c>
      <c r="K53" t="e">
        <v>#N/A</v>
      </c>
      <c r="L53" t="s">
        <v>22</v>
      </c>
      <c r="M53" t="e">
        <v>#N/A</v>
      </c>
      <c r="N53" t="s">
        <v>22</v>
      </c>
      <c r="O53" t="e">
        <v>#N/A</v>
      </c>
      <c r="P53" t="s">
        <v>22</v>
      </c>
      <c r="Q53">
        <v>62.259998321533203</v>
      </c>
      <c r="R53" t="s">
        <v>22</v>
      </c>
      <c r="S53" t="e">
        <v>#N/A</v>
      </c>
      <c r="T53" t="s">
        <v>22</v>
      </c>
      <c r="U53" t="e">
        <v>#N/A</v>
      </c>
    </row>
    <row r="54" spans="1:21">
      <c r="A54" s="33" t="s">
        <v>37</v>
      </c>
      <c r="B54" s="32">
        <v>2016</v>
      </c>
      <c r="C54" s="30">
        <v>5.8549456596374512</v>
      </c>
      <c r="D54" s="31">
        <v>9420.5342782626685</v>
      </c>
      <c r="E54" s="30">
        <v>0.91092735528945923</v>
      </c>
      <c r="F54" s="30">
        <v>63.075000762939453</v>
      </c>
      <c r="G54" s="30">
        <v>0.71360629796981812</v>
      </c>
      <c r="H54" s="30">
        <v>-0.18687869608402252</v>
      </c>
      <c r="J54" t="s">
        <v>23</v>
      </c>
      <c r="K54">
        <v>0.59774059409734825</v>
      </c>
      <c r="L54" t="s">
        <v>23</v>
      </c>
      <c r="M54">
        <v>2439.0086953100722</v>
      </c>
      <c r="N54" t="s">
        <v>23</v>
      </c>
      <c r="O54">
        <v>0.12749257795976535</v>
      </c>
      <c r="P54" t="s">
        <v>23</v>
      </c>
      <c r="Q54">
        <v>1.8958637945082308</v>
      </c>
      <c r="R54" t="s">
        <v>23</v>
      </c>
      <c r="S54">
        <v>0.11093309066447628</v>
      </c>
      <c r="T54" t="s">
        <v>23</v>
      </c>
      <c r="U54">
        <v>5.8112943989423772E-2</v>
      </c>
    </row>
    <row r="55" spans="1:21">
      <c r="A55" s="33" t="s">
        <v>37</v>
      </c>
      <c r="B55" s="32">
        <v>2017</v>
      </c>
      <c r="C55" s="30">
        <v>5.5787429809570313</v>
      </c>
      <c r="D55" s="31">
        <v>9574.192580204186</v>
      </c>
      <c r="E55" s="30">
        <v>0.89615130424499512</v>
      </c>
      <c r="F55" s="30">
        <v>63.450000762939453</v>
      </c>
      <c r="G55" s="30">
        <v>0.73087424039840698</v>
      </c>
      <c r="H55" s="30">
        <v>-0.15059798955917358</v>
      </c>
      <c r="J55" t="s">
        <v>24</v>
      </c>
      <c r="K55">
        <v>0.35729381783185088</v>
      </c>
      <c r="L55" t="s">
        <v>24</v>
      </c>
      <c r="M55">
        <v>5948763.4157981398</v>
      </c>
      <c r="N55" t="s">
        <v>24</v>
      </c>
      <c r="O55">
        <v>1.6254357434826842E-2</v>
      </c>
      <c r="P55" t="s">
        <v>24</v>
      </c>
      <c r="Q55">
        <v>3.5942995273271472</v>
      </c>
      <c r="R55" t="s">
        <v>24</v>
      </c>
      <c r="S55">
        <v>1.2306150604372913E-2</v>
      </c>
      <c r="T55" t="s">
        <v>24</v>
      </c>
      <c r="U55">
        <v>3.3771142591179043E-3</v>
      </c>
    </row>
    <row r="56" spans="1:21">
      <c r="A56" s="33" t="s">
        <v>37</v>
      </c>
      <c r="B56" s="32">
        <v>2018</v>
      </c>
      <c r="C56" s="30">
        <v>5.5135002136230469</v>
      </c>
      <c r="D56" s="31">
        <v>9835.8659397908032</v>
      </c>
      <c r="E56" s="30">
        <v>0.90872609615325928</v>
      </c>
      <c r="F56" s="30">
        <v>63.825000762939453</v>
      </c>
      <c r="G56" s="30">
        <v>0.7292822003364563</v>
      </c>
      <c r="H56" s="30">
        <v>-0.15297549962997437</v>
      </c>
      <c r="J56" t="s">
        <v>25</v>
      </c>
      <c r="K56">
        <v>-0.90142075833373925</v>
      </c>
      <c r="L56" t="s">
        <v>25</v>
      </c>
      <c r="M56">
        <v>-0.77861987225711671</v>
      </c>
      <c r="N56" t="s">
        <v>25</v>
      </c>
      <c r="O56">
        <v>-1.0262864435326589</v>
      </c>
      <c r="P56" t="s">
        <v>25</v>
      </c>
      <c r="Q56">
        <v>-6.5531788487906972E-2</v>
      </c>
      <c r="R56" t="s">
        <v>25</v>
      </c>
      <c r="S56">
        <v>-0.9202203957485553</v>
      </c>
      <c r="T56" t="s">
        <v>25</v>
      </c>
      <c r="U56">
        <v>0.81382074630801693</v>
      </c>
    </row>
    <row r="57" spans="1:21">
      <c r="A57" s="33" t="s">
        <v>37</v>
      </c>
      <c r="B57" s="32">
        <v>2019</v>
      </c>
      <c r="C57" s="30">
        <v>5.440523624420166</v>
      </c>
      <c r="D57" s="31">
        <v>10048.251964998221</v>
      </c>
      <c r="E57" s="30">
        <v>0.9100988507270813</v>
      </c>
      <c r="F57" s="30">
        <v>64.199996948242188</v>
      </c>
      <c r="G57" s="30">
        <v>0.71476608514785767</v>
      </c>
      <c r="H57" s="30">
        <v>-0.1219959631562233</v>
      </c>
      <c r="J57" t="s">
        <v>26</v>
      </c>
      <c r="K57">
        <v>0.19311673142202271</v>
      </c>
      <c r="L57" t="s">
        <v>26</v>
      </c>
      <c r="M57">
        <v>0.84025132420460413</v>
      </c>
      <c r="N57" t="s">
        <v>26</v>
      </c>
      <c r="O57">
        <v>-0.1875767310000058</v>
      </c>
      <c r="P57" t="s">
        <v>26</v>
      </c>
      <c r="Q57">
        <v>-0.3453952018328405</v>
      </c>
      <c r="R57" t="s">
        <v>26</v>
      </c>
      <c r="S57">
        <v>9.2260547106075994E-2</v>
      </c>
      <c r="T57" t="s">
        <v>26</v>
      </c>
      <c r="U57">
        <v>0.79164870720381064</v>
      </c>
    </row>
    <row r="58" spans="1:21">
      <c r="A58" s="7"/>
      <c r="B58" s="7"/>
      <c r="J58" t="s">
        <v>27</v>
      </c>
      <c r="K58">
        <v>2.3618683815002441</v>
      </c>
      <c r="L58" t="s">
        <v>27</v>
      </c>
      <c r="M58">
        <v>7496.8165014136994</v>
      </c>
      <c r="N58" t="s">
        <v>27</v>
      </c>
      <c r="O58">
        <v>0.42881804704666138</v>
      </c>
      <c r="P58" t="s">
        <v>27</v>
      </c>
      <c r="Q58">
        <v>8.3599967956542969</v>
      </c>
      <c r="R58" t="s">
        <v>27</v>
      </c>
      <c r="S58">
        <v>0.41283577680587769</v>
      </c>
      <c r="T58" t="s">
        <v>27</v>
      </c>
      <c r="U58">
        <v>0.27832787483930588</v>
      </c>
    </row>
    <row r="59" spans="1:21">
      <c r="A59" s="7"/>
      <c r="B59" s="7"/>
      <c r="J59" t="s">
        <v>28</v>
      </c>
      <c r="K59">
        <v>3.6751084327697754</v>
      </c>
      <c r="L59" t="s">
        <v>28</v>
      </c>
      <c r="M59">
        <v>2551.4354635845211</v>
      </c>
      <c r="N59" t="s">
        <v>28</v>
      </c>
      <c r="O59">
        <v>0.50293737649917603</v>
      </c>
      <c r="P59" t="s">
        <v>28</v>
      </c>
      <c r="Q59">
        <v>58.740001678466797</v>
      </c>
      <c r="R59" t="s">
        <v>28</v>
      </c>
      <c r="S59">
        <v>0.44141274690628052</v>
      </c>
      <c r="T59" t="s">
        <v>28</v>
      </c>
      <c r="U59">
        <v>-0.31214404106140137</v>
      </c>
    </row>
    <row r="60" spans="1:21">
      <c r="A60" s="7"/>
      <c r="B60" s="7"/>
      <c r="J60" t="s">
        <v>29</v>
      </c>
      <c r="K60">
        <v>6.0369768142700195</v>
      </c>
      <c r="L60" t="s">
        <v>29</v>
      </c>
      <c r="M60">
        <v>10048.251964998221</v>
      </c>
      <c r="N60" t="s">
        <v>29</v>
      </c>
      <c r="O60">
        <v>0.9317554235458374</v>
      </c>
      <c r="P60" t="s">
        <v>29</v>
      </c>
      <c r="Q60">
        <v>67.099998474121094</v>
      </c>
      <c r="R60" t="s">
        <v>29</v>
      </c>
      <c r="S60">
        <v>0.8542485237121582</v>
      </c>
      <c r="T60" t="s">
        <v>29</v>
      </c>
      <c r="U60">
        <v>-3.381616622209549E-2</v>
      </c>
    </row>
    <row r="61" spans="1:21">
      <c r="A61" s="7"/>
      <c r="B61" s="7"/>
      <c r="J61" t="s">
        <v>31</v>
      </c>
      <c r="K61">
        <v>268.78665328025818</v>
      </c>
      <c r="L61" t="s">
        <v>31</v>
      </c>
      <c r="M61">
        <v>297305.49845824472</v>
      </c>
      <c r="N61" t="s">
        <v>31</v>
      </c>
      <c r="O61">
        <v>41.448935866355896</v>
      </c>
      <c r="P61" t="s">
        <v>31</v>
      </c>
      <c r="Q61">
        <v>3545.299976348877</v>
      </c>
      <c r="R61" t="s">
        <v>31</v>
      </c>
      <c r="S61">
        <v>35.555607348680496</v>
      </c>
      <c r="T61" t="s">
        <v>31</v>
      </c>
      <c r="U61">
        <v>-12.281700298190117</v>
      </c>
    </row>
    <row r="62" spans="1:21">
      <c r="A62" s="7"/>
      <c r="B62" s="5"/>
      <c r="J62" t="s">
        <v>32</v>
      </c>
      <c r="K62">
        <v>56</v>
      </c>
      <c r="L62" t="s">
        <v>32</v>
      </c>
      <c r="M62">
        <v>56</v>
      </c>
      <c r="N62" t="s">
        <v>32</v>
      </c>
      <c r="O62">
        <v>56</v>
      </c>
      <c r="P62" t="s">
        <v>32</v>
      </c>
      <c r="Q62">
        <v>56</v>
      </c>
      <c r="R62" t="s">
        <v>32</v>
      </c>
      <c r="S62">
        <v>56</v>
      </c>
      <c r="T62" t="s">
        <v>32</v>
      </c>
      <c r="U62">
        <v>56</v>
      </c>
    </row>
    <row r="63" spans="1:21">
      <c r="A63" s="7"/>
      <c r="B63" s="7"/>
      <c r="J63" t="s">
        <v>33</v>
      </c>
      <c r="K63">
        <v>6.0369768142700195</v>
      </c>
      <c r="L63" t="s">
        <v>33</v>
      </c>
      <c r="M63">
        <v>10048.251964998221</v>
      </c>
      <c r="N63" t="s">
        <v>33</v>
      </c>
      <c r="O63">
        <v>0.9317554235458374</v>
      </c>
      <c r="P63" t="s">
        <v>33</v>
      </c>
      <c r="Q63">
        <v>67.099998474121094</v>
      </c>
      <c r="R63" t="s">
        <v>33</v>
      </c>
      <c r="S63">
        <v>0.8542485237121582</v>
      </c>
      <c r="T63" t="s">
        <v>33</v>
      </c>
      <c r="U63">
        <v>-3.381616622209549E-2</v>
      </c>
    </row>
    <row r="64" spans="1:21">
      <c r="A64" s="7"/>
      <c r="B64" s="7"/>
      <c r="J64" t="s">
        <v>34</v>
      </c>
      <c r="K64">
        <v>3.6751084327697754</v>
      </c>
      <c r="L64" t="s">
        <v>34</v>
      </c>
      <c r="M64">
        <v>2551.4354635845211</v>
      </c>
      <c r="N64" t="s">
        <v>34</v>
      </c>
      <c r="O64">
        <v>0.50293737649917603</v>
      </c>
      <c r="P64" t="s">
        <v>34</v>
      </c>
      <c r="Q64">
        <v>58.740001678466797</v>
      </c>
      <c r="R64" t="s">
        <v>34</v>
      </c>
      <c r="S64">
        <v>0.44141274690628052</v>
      </c>
      <c r="T64" t="s">
        <v>34</v>
      </c>
      <c r="U64">
        <v>-0.31214404106140137</v>
      </c>
    </row>
    <row r="65" spans="1:21" ht="15.75" thickBot="1">
      <c r="A65" s="7"/>
      <c r="B65" s="7"/>
      <c r="J65" s="12" t="s">
        <v>35</v>
      </c>
      <c r="K65" s="12">
        <v>0.16007597643697868</v>
      </c>
      <c r="L65" s="12" t="s">
        <v>35</v>
      </c>
      <c r="M65" s="12">
        <v>653.17079397899522</v>
      </c>
      <c r="N65" s="12" t="s">
        <v>35</v>
      </c>
      <c r="O65" s="12">
        <v>3.4142735338556128E-2</v>
      </c>
      <c r="P65" s="12" t="s">
        <v>35</v>
      </c>
      <c r="Q65" s="12">
        <v>0.50771563968431987</v>
      </c>
      <c r="R65" s="12" t="s">
        <v>35</v>
      </c>
      <c r="S65" s="12">
        <v>2.9708075681398168E-2</v>
      </c>
      <c r="T65" s="12" t="s">
        <v>35</v>
      </c>
      <c r="U65" s="12">
        <v>1.5562748029155027E-2</v>
      </c>
    </row>
    <row r="66" spans="1:21">
      <c r="A66" s="7"/>
      <c r="B66" s="7"/>
      <c r="I66" s="7"/>
    </row>
    <row r="67" spans="1:21">
      <c r="A67" s="7"/>
      <c r="B67" s="7"/>
      <c r="I67" s="7"/>
    </row>
    <row r="68" spans="1:21">
      <c r="A68" s="7"/>
      <c r="B68" s="7"/>
      <c r="I68" s="7"/>
    </row>
    <row r="69" spans="1:21">
      <c r="A69" s="7"/>
      <c r="B69" s="7"/>
      <c r="I69" s="7"/>
    </row>
    <row r="70" spans="1:21">
      <c r="A70" s="7"/>
      <c r="B70" s="7"/>
      <c r="I70" s="7"/>
    </row>
    <row r="71" spans="1:21">
      <c r="A71" s="7"/>
      <c r="B71" s="7"/>
    </row>
    <row r="72" spans="1:21">
      <c r="A72" s="7"/>
      <c r="B72" s="7"/>
    </row>
    <row r="73" spans="1:21">
      <c r="A73" s="7"/>
      <c r="B73" s="7"/>
    </row>
    <row r="74" spans="1:21">
      <c r="A74" s="7"/>
      <c r="B74" s="7"/>
    </row>
    <row r="75" spans="1:21">
      <c r="A75" s="7"/>
      <c r="B75" s="7"/>
    </row>
    <row r="76" spans="1:21">
      <c r="A76" s="7"/>
      <c r="B76" s="7"/>
    </row>
    <row r="77" spans="1:21">
      <c r="A77" s="7"/>
      <c r="B77" s="7"/>
    </row>
    <row r="78" spans="1:21">
      <c r="A78" s="7"/>
      <c r="B78" s="7"/>
    </row>
    <row r="79" spans="1:21">
      <c r="A79" s="7"/>
      <c r="B79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3D43-EF6C-45B0-A3C4-D75DE69218F0}">
  <dimension ref="A1:AG79"/>
  <sheetViews>
    <sheetView topLeftCell="B1" zoomScale="49" zoomScaleNormal="49" workbookViewId="0">
      <selection activeCell="AS36" sqref="AS36"/>
    </sheetView>
  </sheetViews>
  <sheetFormatPr defaultRowHeight="15"/>
  <cols>
    <col min="3" max="3" width="11.42578125" bestFit="1" customWidth="1"/>
    <col min="6" max="6" width="22.85546875" bestFit="1" customWidth="1"/>
    <col min="14" max="14" width="9.28515625" bestFit="1" customWidth="1"/>
    <col min="15" max="18" width="14.7109375" bestFit="1" customWidth="1"/>
    <col min="21" max="21" width="9.28515625" bestFit="1" customWidth="1"/>
    <col min="22" max="22" width="9.85546875" bestFit="1" customWidth="1"/>
    <col min="23" max="23" width="11.140625" bestFit="1" customWidth="1"/>
    <col min="24" max="24" width="9.85546875" bestFit="1" customWidth="1"/>
    <col min="25" max="25" width="12.28515625" bestFit="1" customWidth="1"/>
    <col min="29" max="33" width="9.28515625" bestFit="1" customWidth="1"/>
  </cols>
  <sheetData>
    <row r="1" spans="1:33" ht="15.75" thickBot="1">
      <c r="A1" s="4" t="s">
        <v>0</v>
      </c>
      <c r="B1" s="4" t="s">
        <v>1</v>
      </c>
      <c r="C1" s="6" t="s">
        <v>2</v>
      </c>
      <c r="D1" s="1" t="s">
        <v>3</v>
      </c>
      <c r="Q1" s="9" t="s">
        <v>47</v>
      </c>
      <c r="W1" s="9" t="s">
        <v>48</v>
      </c>
      <c r="AF1" s="8" t="s">
        <v>3</v>
      </c>
    </row>
    <row r="2" spans="1:33">
      <c r="A2" s="5" t="s">
        <v>9</v>
      </c>
      <c r="B2" s="3">
        <v>2006</v>
      </c>
      <c r="C2" s="7">
        <v>4.2893109321594238</v>
      </c>
      <c r="D2">
        <v>2551.4354635845211</v>
      </c>
      <c r="F2" s="11" t="s">
        <v>49</v>
      </c>
      <c r="H2" s="18" t="s">
        <v>50</v>
      </c>
      <c r="J2" s="13"/>
      <c r="K2" s="13" t="s">
        <v>2</v>
      </c>
      <c r="L2" s="13" t="s">
        <v>3</v>
      </c>
      <c r="N2" t="s">
        <v>1</v>
      </c>
      <c r="O2" s="2" t="s">
        <v>9</v>
      </c>
      <c r="P2" s="2" t="s">
        <v>30</v>
      </c>
      <c r="Q2" s="2" t="s">
        <v>8</v>
      </c>
      <c r="R2" s="2" t="s">
        <v>51</v>
      </c>
      <c r="U2" t="s">
        <v>1</v>
      </c>
      <c r="V2" s="2" t="s">
        <v>9</v>
      </c>
      <c r="W2" s="2" t="s">
        <v>30</v>
      </c>
      <c r="X2" s="2" t="s">
        <v>8</v>
      </c>
      <c r="Y2" s="2" t="s">
        <v>51</v>
      </c>
      <c r="AC2" s="2" t="s">
        <v>1</v>
      </c>
      <c r="AD2" s="2" t="s">
        <v>9</v>
      </c>
      <c r="AE2" s="2" t="s">
        <v>30</v>
      </c>
      <c r="AF2" s="2" t="s">
        <v>8</v>
      </c>
      <c r="AG2" s="2" t="s">
        <v>51</v>
      </c>
    </row>
    <row r="3" spans="1:33">
      <c r="A3" s="5" t="s">
        <v>9</v>
      </c>
      <c r="B3" s="3">
        <v>2007</v>
      </c>
      <c r="C3" s="7">
        <v>4.8815155029296875</v>
      </c>
      <c r="D3">
        <v>2919.3734936373035</v>
      </c>
      <c r="F3" t="s">
        <v>45</v>
      </c>
      <c r="G3" s="15">
        <f>CORREL(C2:C57,D2:D57)</f>
        <v>0.84398490641564772</v>
      </c>
      <c r="H3" s="17">
        <f>G3^2</f>
        <v>0.71231052225742963</v>
      </c>
      <c r="J3" t="s">
        <v>2</v>
      </c>
      <c r="K3">
        <v>1</v>
      </c>
      <c r="N3" s="3">
        <v>2006</v>
      </c>
      <c r="O3" s="2">
        <v>7978593838.1751566</v>
      </c>
      <c r="P3" s="2">
        <v>29705808016.004879</v>
      </c>
      <c r="Q3" s="2">
        <v>9913559155.9015083</v>
      </c>
      <c r="R3" s="2">
        <v>1137229862730.3501</v>
      </c>
      <c r="U3" s="3">
        <v>2006</v>
      </c>
      <c r="V3" s="2">
        <v>3127100</v>
      </c>
      <c r="W3" s="2">
        <v>8484550</v>
      </c>
      <c r="X3" s="2">
        <v>3880347</v>
      </c>
      <c r="Y3" s="2">
        <v>143049637</v>
      </c>
      <c r="AC3" s="3">
        <v>2006</v>
      </c>
      <c r="AD3">
        <f t="shared" ref="AD3:AD16" si="0">O3/V3</f>
        <v>2551.4354635845211</v>
      </c>
      <c r="AE3">
        <f t="shared" ref="AE3:AE16" si="1">P3/W3</f>
        <v>3501.1648250060261</v>
      </c>
      <c r="AF3">
        <f t="shared" ref="AF3:AF16" si="2">Q3/X3</f>
        <v>2554.8125350391365</v>
      </c>
      <c r="AG3">
        <f t="shared" ref="AG3:AG16" si="3">R3/Y3</f>
        <v>7949.8968790137515</v>
      </c>
    </row>
    <row r="4" spans="1:33" ht="15.75" thickBot="1">
      <c r="A4" s="5" t="s">
        <v>9</v>
      </c>
      <c r="B4" s="3">
        <v>2008</v>
      </c>
      <c r="C4" s="7">
        <v>4.6519722938537598</v>
      </c>
      <c r="D4">
        <v>3141.3319350077413</v>
      </c>
      <c r="F4" t="s">
        <v>9</v>
      </c>
      <c r="G4" s="16">
        <f>CORREL(C2:C15,D2:D15)</f>
        <v>0.63571921588042202</v>
      </c>
      <c r="H4" s="17">
        <f>G4^2</f>
        <v>0.4041389214396186</v>
      </c>
      <c r="J4" s="12" t="s">
        <v>3</v>
      </c>
      <c r="K4" s="14">
        <v>0.8439849064156475</v>
      </c>
      <c r="L4" s="12">
        <v>1</v>
      </c>
      <c r="N4" s="3">
        <v>2007</v>
      </c>
      <c r="O4" s="2">
        <v>9071661194.1285572</v>
      </c>
      <c r="P4" s="2">
        <v>37132259975.913261</v>
      </c>
      <c r="Q4" s="2">
        <v>11160245709.658939</v>
      </c>
      <c r="R4" s="2">
        <v>1233894148246.7368</v>
      </c>
      <c r="U4" s="3">
        <v>2007</v>
      </c>
      <c r="V4" s="2">
        <v>3107400</v>
      </c>
      <c r="W4" s="2">
        <v>8581300</v>
      </c>
      <c r="X4" s="2">
        <v>3860158</v>
      </c>
      <c r="Y4" s="2">
        <v>142805114</v>
      </c>
      <c r="AC4" s="3">
        <v>2007</v>
      </c>
      <c r="AD4">
        <f t="shared" si="0"/>
        <v>2919.3734936373035</v>
      </c>
      <c r="AE4">
        <f t="shared" si="1"/>
        <v>4327.1136046884812</v>
      </c>
      <c r="AF4">
        <f t="shared" si="2"/>
        <v>2891.1370233184598</v>
      </c>
      <c r="AG4">
        <f t="shared" si="3"/>
        <v>8640.4058908334118</v>
      </c>
    </row>
    <row r="5" spans="1:33">
      <c r="A5" s="5" t="s">
        <v>9</v>
      </c>
      <c r="B5" s="3">
        <v>2009</v>
      </c>
      <c r="C5" s="7">
        <v>4.177581787109375</v>
      </c>
      <c r="D5">
        <v>2716.974362804709</v>
      </c>
      <c r="F5" t="s">
        <v>30</v>
      </c>
      <c r="G5" s="16">
        <f>CORREL(C16:C29,D16:D29)</f>
        <v>0.46677301530059861</v>
      </c>
      <c r="H5" s="17">
        <f>G5^2</f>
        <v>0.21787704781281286</v>
      </c>
      <c r="N5" s="3">
        <v>2008</v>
      </c>
      <c r="O5" s="2">
        <v>9697605816.5623989</v>
      </c>
      <c r="P5" s="2">
        <v>41127311680.07785</v>
      </c>
      <c r="Q5" s="2">
        <v>11430503827.91152</v>
      </c>
      <c r="R5" s="2">
        <v>1298056264706.4734</v>
      </c>
      <c r="U5" s="3">
        <v>2008</v>
      </c>
      <c r="V5" s="2">
        <v>3087100</v>
      </c>
      <c r="W5" s="2">
        <v>8763400</v>
      </c>
      <c r="X5" s="2">
        <v>3848449</v>
      </c>
      <c r="Y5" s="2">
        <v>142742366</v>
      </c>
      <c r="AC5" s="3">
        <v>2008</v>
      </c>
      <c r="AD5">
        <f t="shared" si="0"/>
        <v>3141.3319350077413</v>
      </c>
      <c r="AE5">
        <f t="shared" si="1"/>
        <v>4693.0770796811566</v>
      </c>
      <c r="AF5">
        <f t="shared" si="2"/>
        <v>2970.1585828242805</v>
      </c>
      <c r="AG5">
        <f t="shared" si="3"/>
        <v>9093.7000771478979</v>
      </c>
    </row>
    <row r="6" spans="1:33">
      <c r="A6" s="5" t="s">
        <v>9</v>
      </c>
      <c r="B6" s="3">
        <v>2010</v>
      </c>
      <c r="C6" s="7">
        <v>4.3678112030029297</v>
      </c>
      <c r="D6">
        <v>2796.0814342804319</v>
      </c>
      <c r="F6" t="s">
        <v>8</v>
      </c>
      <c r="G6" s="16">
        <f>CORREL(C30:C43,D30:D43)</f>
        <v>0.9186014482599032</v>
      </c>
      <c r="H6" s="17">
        <f>G6^2</f>
        <v>0.8438286207451916</v>
      </c>
      <c r="N6" s="3">
        <v>2009</v>
      </c>
      <c r="O6" s="2">
        <v>8330243396.3592377</v>
      </c>
      <c r="P6" s="2">
        <v>44950656172.180161</v>
      </c>
      <c r="Q6" s="2">
        <v>11013204446.973305</v>
      </c>
      <c r="R6" s="2">
        <v>1196807955075.782</v>
      </c>
      <c r="U6" s="3">
        <v>2009</v>
      </c>
      <c r="V6" s="2">
        <v>3066000</v>
      </c>
      <c r="W6" s="2">
        <v>8947243</v>
      </c>
      <c r="X6" s="2">
        <v>3814419</v>
      </c>
      <c r="Y6" s="2">
        <v>142785348</v>
      </c>
      <c r="AC6" s="3">
        <v>2009</v>
      </c>
      <c r="AD6">
        <f t="shared" si="0"/>
        <v>2716.974362804709</v>
      </c>
      <c r="AE6">
        <f t="shared" si="1"/>
        <v>5023.9672905028019</v>
      </c>
      <c r="AF6">
        <f t="shared" si="2"/>
        <v>2887.256079359217</v>
      </c>
      <c r="AG6">
        <f t="shared" si="3"/>
        <v>8381.8681106956574</v>
      </c>
    </row>
    <row r="7" spans="1:33">
      <c r="A7" s="5" t="s">
        <v>9</v>
      </c>
      <c r="B7" s="3">
        <v>2011</v>
      </c>
      <c r="C7" s="7">
        <v>4.2604913711547852</v>
      </c>
      <c r="D7">
        <v>2943.8368711931512</v>
      </c>
      <c r="F7" t="s">
        <v>51</v>
      </c>
      <c r="G7" s="16">
        <f>CORREL(C44:C57,D44:D57)</f>
        <v>0.68998215783760497</v>
      </c>
      <c r="H7" s="17">
        <f>G7^2</f>
        <v>0.47607537813423761</v>
      </c>
      <c r="N7" s="3">
        <v>2010</v>
      </c>
      <c r="O7" s="2">
        <v>8513508751.0970592</v>
      </c>
      <c r="P7" s="2">
        <v>47220189860.765785</v>
      </c>
      <c r="Q7" s="2">
        <v>11701134202.52533</v>
      </c>
      <c r="R7" s="2">
        <v>1250664313044.698</v>
      </c>
      <c r="U7" s="3">
        <v>2010</v>
      </c>
      <c r="V7" s="2">
        <v>3044800</v>
      </c>
      <c r="W7" s="2">
        <v>9054332</v>
      </c>
      <c r="X7" s="2">
        <v>3786695</v>
      </c>
      <c r="Y7" s="2">
        <v>142849468</v>
      </c>
      <c r="AC7" s="3">
        <v>2010</v>
      </c>
      <c r="AD7">
        <f t="shared" si="0"/>
        <v>2796.0814342804319</v>
      </c>
      <c r="AE7">
        <f t="shared" si="1"/>
        <v>5215.2041542949592</v>
      </c>
      <c r="AF7">
        <f t="shared" si="2"/>
        <v>3090.0651366231846</v>
      </c>
      <c r="AG7">
        <f t="shared" si="3"/>
        <v>8755.120551409389</v>
      </c>
    </row>
    <row r="8" spans="1:33">
      <c r="A8" s="5" t="s">
        <v>9</v>
      </c>
      <c r="B8" s="3">
        <v>2012</v>
      </c>
      <c r="C8" s="7">
        <v>4.3197116851806641</v>
      </c>
      <c r="D8">
        <v>3159.7586078688928</v>
      </c>
      <c r="N8" s="3">
        <v>2011</v>
      </c>
      <c r="O8" s="2">
        <v>8913643662.2857418</v>
      </c>
      <c r="P8" s="2">
        <v>47267410115.707581</v>
      </c>
      <c r="Q8" s="2">
        <v>12629541567.43158</v>
      </c>
      <c r="R8" s="2">
        <v>1304443243520.4729</v>
      </c>
      <c r="U8" s="3">
        <v>2011</v>
      </c>
      <c r="V8" s="2">
        <v>3027900</v>
      </c>
      <c r="W8" s="2">
        <v>9173082</v>
      </c>
      <c r="X8" s="2">
        <v>3756441</v>
      </c>
      <c r="Y8" s="2">
        <v>143018195</v>
      </c>
      <c r="AC8" s="3">
        <v>2011</v>
      </c>
      <c r="AD8">
        <f t="shared" si="0"/>
        <v>2943.8368711931512</v>
      </c>
      <c r="AE8">
        <f t="shared" si="1"/>
        <v>5152.838502447441</v>
      </c>
      <c r="AF8">
        <f t="shared" si="2"/>
        <v>3362.1030031967971</v>
      </c>
      <c r="AG8">
        <f t="shared" si="3"/>
        <v>9120.8202111659484</v>
      </c>
    </row>
    <row r="9" spans="1:33">
      <c r="A9" s="5" t="s">
        <v>9</v>
      </c>
      <c r="B9" s="3">
        <v>2013</v>
      </c>
      <c r="C9" s="7">
        <v>4.277191162109375</v>
      </c>
      <c r="D9">
        <v>3266.2988299987346</v>
      </c>
      <c r="N9" s="3">
        <v>2012</v>
      </c>
      <c r="O9" s="2">
        <v>9555426006.0563183</v>
      </c>
      <c r="P9" s="2">
        <v>48290862738.26815</v>
      </c>
      <c r="Q9" s="2">
        <v>13460417765.695713</v>
      </c>
      <c r="R9" s="2">
        <v>1356935163515.0227</v>
      </c>
      <c r="U9" s="3">
        <v>2012</v>
      </c>
      <c r="V9" s="2">
        <v>3024100</v>
      </c>
      <c r="W9" s="2">
        <v>9295784</v>
      </c>
      <c r="X9" s="2">
        <v>3728874</v>
      </c>
      <c r="Y9" s="2">
        <v>143378447</v>
      </c>
      <c r="AC9" s="3">
        <v>2012</v>
      </c>
      <c r="AD9">
        <f t="shared" si="0"/>
        <v>3159.7586078688928</v>
      </c>
      <c r="AE9">
        <f t="shared" si="1"/>
        <v>5194.9209166508335</v>
      </c>
      <c r="AF9">
        <f t="shared" si="2"/>
        <v>3609.7807986259963</v>
      </c>
      <c r="AG9">
        <f t="shared" si="3"/>
        <v>9464.0107485263998</v>
      </c>
    </row>
    <row r="10" spans="1:33">
      <c r="A10" s="5" t="s">
        <v>9</v>
      </c>
      <c r="B10" s="3">
        <v>2014</v>
      </c>
      <c r="C10" s="7">
        <v>4.4530830383300781</v>
      </c>
      <c r="D10">
        <v>3393.0925232688396</v>
      </c>
      <c r="N10" s="3">
        <v>2013</v>
      </c>
      <c r="O10" s="2">
        <v>9870755064.256176</v>
      </c>
      <c r="P10" s="2">
        <v>51096465688.574501</v>
      </c>
      <c r="Q10" s="2">
        <v>14151325572.137575</v>
      </c>
      <c r="R10" s="2">
        <v>1380755103919.4473</v>
      </c>
      <c r="U10" s="3">
        <v>2013</v>
      </c>
      <c r="V10" s="2">
        <v>3022000</v>
      </c>
      <c r="W10" s="2">
        <v>9416801</v>
      </c>
      <c r="X10" s="2">
        <v>3717668</v>
      </c>
      <c r="Y10" s="2">
        <v>143805638</v>
      </c>
      <c r="AC10" s="3">
        <v>2013</v>
      </c>
      <c r="AD10">
        <f t="shared" si="0"/>
        <v>3266.2988299987346</v>
      </c>
      <c r="AE10">
        <f t="shared" si="1"/>
        <v>5426.0959415596126</v>
      </c>
      <c r="AF10">
        <f t="shared" si="2"/>
        <v>3806.5060064905138</v>
      </c>
      <c r="AG10">
        <f t="shared" si="3"/>
        <v>9601.5366512921228</v>
      </c>
    </row>
    <row r="11" spans="1:33">
      <c r="A11" s="5" t="s">
        <v>9</v>
      </c>
      <c r="B11" s="3">
        <v>2015</v>
      </c>
      <c r="C11" s="7">
        <v>4.3483195304870605</v>
      </c>
      <c r="D11">
        <v>3512.3935027670905</v>
      </c>
      <c r="N11" s="3">
        <v>2014</v>
      </c>
      <c r="O11" s="2">
        <v>10226102246.627628</v>
      </c>
      <c r="P11" s="2">
        <v>52501877459.744362</v>
      </c>
      <c r="Q11" s="2">
        <v>14730184213.849369</v>
      </c>
      <c r="R11" s="2">
        <v>1390921151162.4626</v>
      </c>
      <c r="U11" s="3">
        <v>2014</v>
      </c>
      <c r="V11" s="2">
        <v>3013800</v>
      </c>
      <c r="W11" s="2">
        <v>9535079</v>
      </c>
      <c r="X11" s="2">
        <v>3719414</v>
      </c>
      <c r="Y11" s="2">
        <v>144237223</v>
      </c>
      <c r="AC11" s="3">
        <v>2014</v>
      </c>
      <c r="AD11">
        <f t="shared" si="0"/>
        <v>3393.0925232688396</v>
      </c>
      <c r="AE11">
        <f t="shared" si="1"/>
        <v>5506.1816960031856</v>
      </c>
      <c r="AF11">
        <f t="shared" si="2"/>
        <v>3960.3508009190073</v>
      </c>
      <c r="AG11">
        <f t="shared" si="3"/>
        <v>9643.288481520909</v>
      </c>
    </row>
    <row r="12" spans="1:33">
      <c r="A12" s="5" t="s">
        <v>9</v>
      </c>
      <c r="B12" s="3">
        <v>2016</v>
      </c>
      <c r="C12" s="7">
        <v>4.3254718780517578</v>
      </c>
      <c r="D12">
        <v>3533.8850360700676</v>
      </c>
      <c r="N12" s="3">
        <v>2015</v>
      </c>
      <c r="O12" s="2">
        <v>10553337518.414</v>
      </c>
      <c r="P12" s="2">
        <v>53076235354.746017</v>
      </c>
      <c r="Q12" s="2">
        <v>15223796148.839621</v>
      </c>
      <c r="R12" s="2">
        <v>1363482182197.7053</v>
      </c>
      <c r="U12" s="3">
        <v>2015</v>
      </c>
      <c r="V12" s="2">
        <v>3004600</v>
      </c>
      <c r="W12" s="2">
        <v>9649341</v>
      </c>
      <c r="X12" s="2">
        <v>3725276</v>
      </c>
      <c r="Y12" s="2">
        <v>144640716</v>
      </c>
      <c r="AC12" s="3">
        <v>2015</v>
      </c>
      <c r="AD12">
        <f t="shared" si="0"/>
        <v>3512.3935027670905</v>
      </c>
      <c r="AE12">
        <f t="shared" si="1"/>
        <v>5500.503646284862</v>
      </c>
      <c r="AF12">
        <f t="shared" si="2"/>
        <v>4086.6223465964995</v>
      </c>
      <c r="AG12">
        <f t="shared" si="3"/>
        <v>9426.6830247003563</v>
      </c>
    </row>
    <row r="13" spans="1:33">
      <c r="A13" s="5" t="s">
        <v>9</v>
      </c>
      <c r="B13" s="3">
        <v>2017</v>
      </c>
      <c r="C13" s="7">
        <v>4.2877364158630371</v>
      </c>
      <c r="D13">
        <v>3815.3747426037021</v>
      </c>
      <c r="N13" s="3">
        <v>2016</v>
      </c>
      <c r="O13" s="2">
        <v>10574444193.432463</v>
      </c>
      <c r="P13" s="2">
        <v>51430872122.242577</v>
      </c>
      <c r="Q13" s="2">
        <v>15749049874.534376</v>
      </c>
      <c r="R13" s="2">
        <v>1366123111808.0288</v>
      </c>
      <c r="U13" s="3">
        <v>2016</v>
      </c>
      <c r="V13" s="2">
        <v>2992300</v>
      </c>
      <c r="W13" s="2">
        <v>9757812</v>
      </c>
      <c r="X13" s="2">
        <v>3727505</v>
      </c>
      <c r="Y13" s="2">
        <v>145015460</v>
      </c>
      <c r="AC13" s="3">
        <v>2016</v>
      </c>
      <c r="AD13">
        <f t="shared" si="0"/>
        <v>3533.8850360700676</v>
      </c>
      <c r="AE13">
        <f t="shared" si="1"/>
        <v>5270.7381657120031</v>
      </c>
      <c r="AF13">
        <f t="shared" si="2"/>
        <v>4225.0915490480565</v>
      </c>
      <c r="AG13">
        <f t="shared" si="3"/>
        <v>9420.5342782626685</v>
      </c>
    </row>
    <row r="14" spans="1:33">
      <c r="A14" s="5" t="s">
        <v>9</v>
      </c>
      <c r="B14" s="3">
        <v>2018</v>
      </c>
      <c r="C14" s="7">
        <v>5.0624485015869141</v>
      </c>
      <c r="D14">
        <v>4027.8339301097853</v>
      </c>
      <c r="N14" s="3">
        <v>2017</v>
      </c>
      <c r="O14" s="2">
        <v>11367527508.11347</v>
      </c>
      <c r="P14" s="2">
        <v>51533733835.092964</v>
      </c>
      <c r="Q14" s="2">
        <v>16561685511.098269</v>
      </c>
      <c r="R14" s="2">
        <v>1391065651845.6777</v>
      </c>
      <c r="U14" s="3">
        <v>2017</v>
      </c>
      <c r="V14" s="2">
        <v>2979400</v>
      </c>
      <c r="W14" s="2">
        <v>9854033</v>
      </c>
      <c r="X14" s="2">
        <v>3728004</v>
      </c>
      <c r="Y14" s="2">
        <v>145293260</v>
      </c>
      <c r="AC14" s="3">
        <v>2017</v>
      </c>
      <c r="AD14">
        <f t="shared" si="0"/>
        <v>3815.3747426037021</v>
      </c>
      <c r="AE14">
        <f t="shared" si="1"/>
        <v>5229.7098898585955</v>
      </c>
      <c r="AF14">
        <f t="shared" si="2"/>
        <v>4442.5074412737404</v>
      </c>
      <c r="AG14">
        <f t="shared" si="3"/>
        <v>9574.192580204186</v>
      </c>
    </row>
    <row r="15" spans="1:33">
      <c r="A15" s="5" t="s">
        <v>9</v>
      </c>
      <c r="B15" s="3">
        <v>2019</v>
      </c>
      <c r="C15" s="7">
        <v>5.4880867004394531</v>
      </c>
      <c r="D15">
        <v>4343.4583958301937</v>
      </c>
      <c r="N15" s="3">
        <v>2018</v>
      </c>
      <c r="O15" s="2">
        <v>11958638938.495953</v>
      </c>
      <c r="P15" s="2">
        <v>52306739842.619354</v>
      </c>
      <c r="Q15" s="2">
        <v>17565660917.334095</v>
      </c>
      <c r="R15" s="2">
        <v>1430116278515.4929</v>
      </c>
      <c r="U15" s="3">
        <v>2018</v>
      </c>
      <c r="V15" s="2">
        <v>2969000</v>
      </c>
      <c r="W15" s="2">
        <v>9939771</v>
      </c>
      <c r="X15" s="2">
        <v>3726549</v>
      </c>
      <c r="Y15" s="2">
        <v>145398106</v>
      </c>
      <c r="AC15" s="3">
        <v>2018</v>
      </c>
      <c r="AD15">
        <f t="shared" si="0"/>
        <v>4027.8339301097853</v>
      </c>
      <c r="AE15">
        <f t="shared" si="1"/>
        <v>5262.3687047336762</v>
      </c>
      <c r="AF15">
        <f t="shared" si="2"/>
        <v>4713.6535484530314</v>
      </c>
      <c r="AG15">
        <f t="shared" si="3"/>
        <v>9835.8659397908032</v>
      </c>
    </row>
    <row r="16" spans="1:33">
      <c r="A16" s="5" t="s">
        <v>30</v>
      </c>
      <c r="B16" s="3">
        <v>2006</v>
      </c>
      <c r="C16" s="7">
        <v>4.7278709411621094</v>
      </c>
      <c r="D16">
        <v>3501.1648250060261</v>
      </c>
      <c r="N16" s="3">
        <v>2019</v>
      </c>
      <c r="O16" s="2">
        <v>12867495497.64695</v>
      </c>
      <c r="P16" s="2">
        <v>53614408373.959106</v>
      </c>
      <c r="Q16" s="2">
        <v>18510819818.49567</v>
      </c>
      <c r="R16" s="2">
        <v>1461551317106.208</v>
      </c>
      <c r="U16" s="3">
        <v>2019</v>
      </c>
      <c r="V16" s="2">
        <v>2962500</v>
      </c>
      <c r="W16" s="2">
        <v>10024283</v>
      </c>
      <c r="X16" s="2">
        <v>3720161</v>
      </c>
      <c r="Y16" s="2">
        <v>145453291</v>
      </c>
      <c r="AC16" s="3">
        <v>2019</v>
      </c>
      <c r="AD16">
        <f t="shared" si="0"/>
        <v>4343.4583958301937</v>
      </c>
      <c r="AE16">
        <f t="shared" si="1"/>
        <v>5348.4531885182314</v>
      </c>
      <c r="AF16">
        <f t="shared" si="2"/>
        <v>4975.8114819481389</v>
      </c>
      <c r="AG16">
        <f t="shared" si="3"/>
        <v>10048.251964998221</v>
      </c>
    </row>
    <row r="17" spans="1:22">
      <c r="A17" s="5" t="s">
        <v>30</v>
      </c>
      <c r="B17" s="3">
        <v>2007</v>
      </c>
      <c r="C17" s="7">
        <v>4.5681595802307129</v>
      </c>
      <c r="D17">
        <v>4327.1136046884812</v>
      </c>
    </row>
    <row r="18" spans="1:22">
      <c r="A18" s="5" t="s">
        <v>30</v>
      </c>
      <c r="B18" s="3">
        <v>2008</v>
      </c>
      <c r="C18" s="7">
        <v>4.8171892166137695</v>
      </c>
      <c r="D18">
        <v>4693.0770796811566</v>
      </c>
    </row>
    <row r="19" spans="1:22">
      <c r="A19" s="5" t="s">
        <v>30</v>
      </c>
      <c r="B19" s="3">
        <v>2009</v>
      </c>
      <c r="C19" s="7">
        <v>4.5737252235412598</v>
      </c>
      <c r="D19">
        <v>5023.9672905028019</v>
      </c>
    </row>
    <row r="20" spans="1:22">
      <c r="A20" s="5" t="s">
        <v>30</v>
      </c>
      <c r="B20" s="3">
        <v>2010</v>
      </c>
      <c r="C20" s="7">
        <v>4.2186107635498047</v>
      </c>
      <c r="D20">
        <v>5215.2041542949592</v>
      </c>
      <c r="Q20" s="8" t="s">
        <v>52</v>
      </c>
      <c r="U20" s="10" t="s">
        <v>53</v>
      </c>
    </row>
    <row r="21" spans="1:22">
      <c r="A21" s="5" t="s">
        <v>30</v>
      </c>
      <c r="B21" s="3">
        <v>2011</v>
      </c>
      <c r="C21" s="7">
        <v>4.6804695129394531</v>
      </c>
      <c r="D21">
        <v>5152.838502447441</v>
      </c>
      <c r="N21" s="2" t="s">
        <v>1</v>
      </c>
      <c r="O21" s="2" t="s">
        <v>9</v>
      </c>
      <c r="P21" s="2" t="s">
        <v>30</v>
      </c>
      <c r="Q21" s="2" t="s">
        <v>8</v>
      </c>
      <c r="R21" s="2" t="s">
        <v>51</v>
      </c>
      <c r="U21" s="2" t="s">
        <v>9</v>
      </c>
      <c r="V21">
        <f>AVERAGE(O23:O35)</f>
        <v>4.3690124196017077</v>
      </c>
    </row>
    <row r="22" spans="1:22">
      <c r="A22" s="5" t="s">
        <v>30</v>
      </c>
      <c r="B22" s="3">
        <v>2012</v>
      </c>
      <c r="C22" s="7">
        <v>4.9107718467712402</v>
      </c>
      <c r="D22">
        <v>5194.9209166508335</v>
      </c>
      <c r="N22" s="3">
        <v>2006</v>
      </c>
      <c r="U22" s="2" t="s">
        <v>30</v>
      </c>
      <c r="V22">
        <f>AVERAGE(P23:P35)</f>
        <v>3.5118195971392803</v>
      </c>
    </row>
    <row r="23" spans="1:22">
      <c r="A23" s="5" t="s">
        <v>30</v>
      </c>
      <c r="B23" s="3">
        <v>2013</v>
      </c>
      <c r="C23" s="7">
        <v>5.4811782836914063</v>
      </c>
      <c r="D23">
        <v>5426.0959415596126</v>
      </c>
      <c r="N23" s="3">
        <v>2007</v>
      </c>
      <c r="O23">
        <f t="shared" ref="O23:O35" si="4">(AD4-AD3)/AD3*100</f>
        <v>14.42082448504752</v>
      </c>
      <c r="P23">
        <f t="shared" ref="P23:R35" si="5">(AE4-AE3)/AE3*100</f>
        <v>23.590685413704666</v>
      </c>
      <c r="Q23">
        <f t="shared" si="5"/>
        <v>13.164350952042406</v>
      </c>
      <c r="R23">
        <f t="shared" si="5"/>
        <v>8.6857606120964359</v>
      </c>
      <c r="U23" s="2" t="s">
        <v>8</v>
      </c>
      <c r="V23">
        <f>AVERAGE(Q23:Q35)</f>
        <v>5.3215516590334744</v>
      </c>
    </row>
    <row r="24" spans="1:22">
      <c r="A24" s="5" t="s">
        <v>30</v>
      </c>
      <c r="B24" s="3">
        <v>2014</v>
      </c>
      <c r="C24" s="7">
        <v>5.2515301704406738</v>
      </c>
      <c r="D24">
        <v>5506.1816960031856</v>
      </c>
      <c r="N24" s="3">
        <v>2008</v>
      </c>
      <c r="O24">
        <f t="shared" si="4"/>
        <v>7.602947750748247</v>
      </c>
      <c r="P24">
        <f t="shared" si="5"/>
        <v>8.4574501255559689</v>
      </c>
      <c r="Q24">
        <f t="shared" si="5"/>
        <v>2.733234670943387</v>
      </c>
      <c r="R24">
        <f t="shared" si="5"/>
        <v>5.2462140325535502</v>
      </c>
      <c r="U24" s="2" t="s">
        <v>51</v>
      </c>
      <c r="V24">
        <f>AVERAGE(R23:R35)</f>
        <v>1.8920857576360759</v>
      </c>
    </row>
    <row r="25" spans="1:22">
      <c r="A25" s="5" t="s">
        <v>30</v>
      </c>
      <c r="B25" s="3">
        <v>2015</v>
      </c>
      <c r="C25" s="7">
        <v>5.1467747688293457</v>
      </c>
      <c r="D25">
        <v>5500.503646284862</v>
      </c>
      <c r="N25" s="3">
        <v>2009</v>
      </c>
      <c r="O25">
        <f t="shared" si="4"/>
        <v>-13.508842140300164</v>
      </c>
      <c r="P25">
        <f t="shared" si="5"/>
        <v>7.0506025194908073</v>
      </c>
      <c r="Q25">
        <f t="shared" si="5"/>
        <v>-2.7911810481928128</v>
      </c>
      <c r="R25">
        <f t="shared" si="5"/>
        <v>-7.8277484457734161</v>
      </c>
    </row>
    <row r="26" spans="1:22">
      <c r="A26" s="5" t="s">
        <v>30</v>
      </c>
      <c r="B26" s="3">
        <v>2016</v>
      </c>
      <c r="C26" s="7">
        <v>5.3038949966430664</v>
      </c>
      <c r="D26">
        <v>5270.7381657120031</v>
      </c>
      <c r="N26" s="3">
        <v>2010</v>
      </c>
      <c r="O26">
        <f t="shared" si="4"/>
        <v>2.9115869681619442</v>
      </c>
      <c r="P26">
        <f t="shared" si="5"/>
        <v>3.8064910206256166</v>
      </c>
      <c r="Q26">
        <f t="shared" si="5"/>
        <v>7.0242836689767403</v>
      </c>
      <c r="R26">
        <f t="shared" si="5"/>
        <v>4.453093699212995</v>
      </c>
    </row>
    <row r="27" spans="1:22">
      <c r="A27" s="5" t="s">
        <v>30</v>
      </c>
      <c r="B27" s="3">
        <v>2017</v>
      </c>
      <c r="C27" s="7">
        <v>5.1522793769836426</v>
      </c>
      <c r="D27">
        <v>5229.7098898585955</v>
      </c>
      <c r="N27" s="3">
        <v>2011</v>
      </c>
      <c r="O27">
        <f t="shared" si="4"/>
        <v>5.2843753082872533</v>
      </c>
      <c r="P27">
        <f t="shared" si="5"/>
        <v>-1.1958429622770799</v>
      </c>
      <c r="Q27">
        <f t="shared" si="5"/>
        <v>8.8036288733672077</v>
      </c>
      <c r="R27">
        <f t="shared" si="5"/>
        <v>4.17698028952542</v>
      </c>
    </row>
    <row r="28" spans="1:22">
      <c r="A28" s="5" t="s">
        <v>30</v>
      </c>
      <c r="B28" s="3">
        <v>2018</v>
      </c>
      <c r="C28" s="7">
        <v>5.1679954528808594</v>
      </c>
      <c r="D28">
        <v>5262.3687047336762</v>
      </c>
      <c r="N28" s="3">
        <v>2012</v>
      </c>
      <c r="O28">
        <f t="shared" si="4"/>
        <v>7.3347045411598337</v>
      </c>
      <c r="P28">
        <f t="shared" si="5"/>
        <v>0.81668412824125358</v>
      </c>
      <c r="Q28">
        <f t="shared" si="5"/>
        <v>7.3667521546394958</v>
      </c>
      <c r="R28">
        <f t="shared" si="5"/>
        <v>3.7627157362482428</v>
      </c>
    </row>
    <row r="29" spans="1:22">
      <c r="A29" s="5" t="s">
        <v>30</v>
      </c>
      <c r="B29" s="3">
        <v>2019</v>
      </c>
      <c r="C29" s="7">
        <v>5.1733894348144531</v>
      </c>
      <c r="D29">
        <v>5348.4531885182314</v>
      </c>
      <c r="N29" s="3">
        <v>2013</v>
      </c>
      <c r="O29">
        <f t="shared" si="4"/>
        <v>3.3717835870284452</v>
      </c>
      <c r="P29">
        <f t="shared" si="5"/>
        <v>4.4500200988202465</v>
      </c>
      <c r="Q29">
        <f t="shared" si="5"/>
        <v>5.4497826554841682</v>
      </c>
      <c r="R29">
        <f t="shared" si="5"/>
        <v>1.4531460965123753</v>
      </c>
    </row>
    <row r="30" spans="1:22">
      <c r="A30" s="5" t="s">
        <v>8</v>
      </c>
      <c r="B30" s="3">
        <v>2006</v>
      </c>
      <c r="C30" s="7">
        <v>3.6751084327697754</v>
      </c>
      <c r="D30">
        <v>2554.8125350391365</v>
      </c>
      <c r="N30" s="3">
        <v>2014</v>
      </c>
      <c r="O30">
        <f t="shared" si="4"/>
        <v>3.881876701102517</v>
      </c>
      <c r="P30">
        <f t="shared" si="5"/>
        <v>1.4759369407787164</v>
      </c>
      <c r="Q30">
        <f t="shared" si="5"/>
        <v>4.0416275231451397</v>
      </c>
      <c r="R30">
        <f t="shared" si="5"/>
        <v>0.43484529346839013</v>
      </c>
    </row>
    <row r="31" spans="1:22">
      <c r="A31" s="5" t="s">
        <v>8</v>
      </c>
      <c r="B31" s="3">
        <v>2007</v>
      </c>
      <c r="C31" s="7">
        <v>3.7071945667266846</v>
      </c>
      <c r="D31">
        <v>2891.1370233184598</v>
      </c>
      <c r="N31" s="3">
        <v>2015</v>
      </c>
      <c r="O31">
        <f t="shared" si="4"/>
        <v>3.5159954725702143</v>
      </c>
      <c r="P31">
        <f t="shared" si="5"/>
        <v>-0.10312136489148431</v>
      </c>
      <c r="Q31">
        <f t="shared" si="5"/>
        <v>3.1883929486294664</v>
      </c>
      <c r="R31">
        <f t="shared" si="5"/>
        <v>-2.2461783367325996</v>
      </c>
    </row>
    <row r="32" spans="1:22">
      <c r="A32" s="5" t="s">
        <v>8</v>
      </c>
      <c r="B32" s="3">
        <v>2008</v>
      </c>
      <c r="C32" s="7">
        <v>4.156090259552002</v>
      </c>
      <c r="D32">
        <v>2970.1585828242805</v>
      </c>
      <c r="N32" s="3">
        <v>2016</v>
      </c>
      <c r="O32">
        <f t="shared" si="4"/>
        <v>0.61187715118041119</v>
      </c>
      <c r="P32">
        <f t="shared" si="5"/>
        <v>-4.1771716800523642</v>
      </c>
      <c r="Q32">
        <f t="shared" si="5"/>
        <v>3.3883532831674472</v>
      </c>
      <c r="R32">
        <f t="shared" si="5"/>
        <v>-6.5227041384297038E-2</v>
      </c>
    </row>
    <row r="33" spans="1:18">
      <c r="A33" s="5" t="s">
        <v>8</v>
      </c>
      <c r="B33" s="3">
        <v>2009</v>
      </c>
      <c r="C33" s="7">
        <v>3.8006391525268555</v>
      </c>
      <c r="D33">
        <v>2887.256079359217</v>
      </c>
      <c r="N33" s="3">
        <v>2017</v>
      </c>
      <c r="O33">
        <f t="shared" si="4"/>
        <v>7.9654460646142331</v>
      </c>
      <c r="P33">
        <f t="shared" si="5"/>
        <v>-0.77841612623277223</v>
      </c>
      <c r="Q33">
        <f t="shared" si="5"/>
        <v>5.1458267756273628</v>
      </c>
      <c r="R33">
        <f t="shared" si="5"/>
        <v>1.6310996531913802</v>
      </c>
    </row>
    <row r="34" spans="1:18">
      <c r="A34" s="5" t="s">
        <v>8</v>
      </c>
      <c r="B34" s="3">
        <v>2010</v>
      </c>
      <c r="C34" s="7">
        <v>4.101837158203125</v>
      </c>
      <c r="D34">
        <v>3090.0651366231846</v>
      </c>
      <c r="N34" s="3">
        <v>2018</v>
      </c>
      <c r="O34">
        <f t="shared" si="4"/>
        <v>5.5685011785001253</v>
      </c>
      <c r="P34">
        <f t="shared" si="5"/>
        <v>0.62448616773967425</v>
      </c>
      <c r="Q34">
        <f t="shared" si="5"/>
        <v>6.103447450873575</v>
      </c>
      <c r="R34">
        <f t="shared" si="5"/>
        <v>2.7331115119582914</v>
      </c>
    </row>
    <row r="35" spans="1:18">
      <c r="A35" s="5" t="s">
        <v>8</v>
      </c>
      <c r="B35" s="3">
        <v>2011</v>
      </c>
      <c r="C35" s="7">
        <v>4.2030305862426758</v>
      </c>
      <c r="D35">
        <v>3362.1030031967971</v>
      </c>
      <c r="N35" s="3">
        <v>2019</v>
      </c>
      <c r="O35">
        <f t="shared" si="4"/>
        <v>7.8360843867216117</v>
      </c>
      <c r="P35">
        <f t="shared" si="5"/>
        <v>1.6358504813073886</v>
      </c>
      <c r="Q35">
        <f t="shared" si="5"/>
        <v>5.5616716587315764</v>
      </c>
      <c r="R35">
        <f t="shared" si="5"/>
        <v>2.1593017483922163</v>
      </c>
    </row>
    <row r="36" spans="1:18">
      <c r="A36" s="5" t="s">
        <v>8</v>
      </c>
      <c r="B36" s="3">
        <v>2012</v>
      </c>
      <c r="C36" s="7">
        <v>4.2544455528259277</v>
      </c>
      <c r="D36">
        <v>3609.7807986259963</v>
      </c>
    </row>
    <row r="37" spans="1:18">
      <c r="A37" s="5" t="s">
        <v>8</v>
      </c>
      <c r="B37" s="3">
        <v>2013</v>
      </c>
      <c r="C37" s="7">
        <v>4.3489208221435547</v>
      </c>
      <c r="D37">
        <v>3806.5060064905138</v>
      </c>
    </row>
    <row r="38" spans="1:18">
      <c r="A38" s="5" t="s">
        <v>8</v>
      </c>
      <c r="B38" s="3">
        <v>2014</v>
      </c>
      <c r="C38" s="7">
        <v>4.2875080108642578</v>
      </c>
      <c r="D38">
        <v>3960.3508009190073</v>
      </c>
    </row>
    <row r="39" spans="1:18">
      <c r="A39" s="5" t="s">
        <v>8</v>
      </c>
      <c r="B39" s="3">
        <v>2015</v>
      </c>
      <c r="C39" s="7">
        <v>4.1219406127929688</v>
      </c>
      <c r="D39">
        <v>4086.6223465964995</v>
      </c>
    </row>
    <row r="40" spans="1:18">
      <c r="A40" s="5" t="s">
        <v>8</v>
      </c>
      <c r="B40" s="3">
        <v>2016</v>
      </c>
      <c r="C40" s="7">
        <v>4.4483861923217773</v>
      </c>
      <c r="D40">
        <v>4225.0915490480565</v>
      </c>
    </row>
    <row r="41" spans="1:18">
      <c r="A41" s="5" t="s">
        <v>8</v>
      </c>
      <c r="B41" s="3">
        <v>2017</v>
      </c>
      <c r="C41" s="7">
        <v>4.4507746696472168</v>
      </c>
      <c r="D41">
        <v>4442.5074412737404</v>
      </c>
    </row>
    <row r="42" spans="1:18">
      <c r="A42" s="5" t="s">
        <v>8</v>
      </c>
      <c r="B42" s="3">
        <v>2018</v>
      </c>
      <c r="C42" s="7">
        <v>4.6590971946716309</v>
      </c>
      <c r="D42">
        <v>4713.6535484530314</v>
      </c>
    </row>
    <row r="43" spans="1:18">
      <c r="A43" s="5" t="s">
        <v>8</v>
      </c>
      <c r="B43" s="3">
        <v>2019</v>
      </c>
      <c r="C43" s="7">
        <v>4.8918356895446777</v>
      </c>
      <c r="D43">
        <v>4975.8114819481389</v>
      </c>
    </row>
    <row r="44" spans="1:18">
      <c r="A44" s="5" t="s">
        <v>37</v>
      </c>
      <c r="B44" s="3">
        <v>2006</v>
      </c>
      <c r="C44" s="7">
        <v>4.963742733001709</v>
      </c>
      <c r="D44">
        <v>7949.8968790137515</v>
      </c>
    </row>
    <row r="45" spans="1:18">
      <c r="A45" s="5" t="s">
        <v>37</v>
      </c>
      <c r="B45" s="3">
        <v>2007</v>
      </c>
      <c r="C45" s="7">
        <v>5.222867488861084</v>
      </c>
      <c r="D45">
        <v>8640.4058908334118</v>
      </c>
    </row>
    <row r="46" spans="1:18">
      <c r="A46" s="5" t="s">
        <v>37</v>
      </c>
      <c r="B46" s="3">
        <v>2008</v>
      </c>
      <c r="C46" s="7">
        <v>5.6187539100646973</v>
      </c>
      <c r="D46">
        <v>9093.7000771478979</v>
      </c>
    </row>
    <row r="47" spans="1:18">
      <c r="A47" s="5" t="s">
        <v>37</v>
      </c>
      <c r="B47" s="3">
        <v>2009</v>
      </c>
      <c r="C47" s="7">
        <v>5.1582279205322266</v>
      </c>
      <c r="D47">
        <v>8381.8681106956574</v>
      </c>
    </row>
    <row r="48" spans="1:18">
      <c r="A48" s="5" t="s">
        <v>37</v>
      </c>
      <c r="B48" s="3">
        <v>2010</v>
      </c>
      <c r="C48" s="7">
        <v>5.3847732543945313</v>
      </c>
      <c r="D48">
        <v>8755.120551409389</v>
      </c>
    </row>
    <row r="49" spans="1:4">
      <c r="A49" s="5" t="s">
        <v>37</v>
      </c>
      <c r="B49" s="3">
        <v>2011</v>
      </c>
      <c r="C49" s="7">
        <v>5.3887662887573242</v>
      </c>
      <c r="D49">
        <v>9120.8202111659484</v>
      </c>
    </row>
    <row r="50" spans="1:4">
      <c r="A50" s="5" t="s">
        <v>37</v>
      </c>
      <c r="B50" s="3">
        <v>2012</v>
      </c>
      <c r="C50" s="7">
        <v>5.6207356452941895</v>
      </c>
      <c r="D50">
        <v>9464.0107485263998</v>
      </c>
    </row>
    <row r="51" spans="1:4">
      <c r="A51" s="5" t="s">
        <v>37</v>
      </c>
      <c r="B51" s="3">
        <v>2013</v>
      </c>
      <c r="C51" s="7">
        <v>5.537177562713623</v>
      </c>
      <c r="D51">
        <v>9601.5366512921228</v>
      </c>
    </row>
    <row r="52" spans="1:4">
      <c r="A52" s="5" t="s">
        <v>37</v>
      </c>
      <c r="B52" s="3">
        <v>2014</v>
      </c>
      <c r="C52" s="7">
        <v>6.0369768142700195</v>
      </c>
      <c r="D52">
        <v>9643.288481520909</v>
      </c>
    </row>
    <row r="53" spans="1:4">
      <c r="A53" s="5" t="s">
        <v>37</v>
      </c>
      <c r="B53" s="3">
        <v>2015</v>
      </c>
      <c r="C53" s="7">
        <v>5.9955387115478516</v>
      </c>
      <c r="D53">
        <v>9426.6830247003563</v>
      </c>
    </row>
    <row r="54" spans="1:4">
      <c r="A54" s="5" t="s">
        <v>37</v>
      </c>
      <c r="B54" s="3">
        <v>2016</v>
      </c>
      <c r="C54" s="7">
        <v>5.8549456596374512</v>
      </c>
      <c r="D54">
        <v>9420.5342782626685</v>
      </c>
    </row>
    <row r="55" spans="1:4">
      <c r="A55" s="5" t="s">
        <v>37</v>
      </c>
      <c r="B55" s="3">
        <v>2017</v>
      </c>
      <c r="C55" s="7">
        <v>5.5787429809570313</v>
      </c>
      <c r="D55">
        <v>9574.192580204186</v>
      </c>
    </row>
    <row r="56" spans="1:4">
      <c r="A56" s="5" t="s">
        <v>37</v>
      </c>
      <c r="B56" s="3">
        <v>2018</v>
      </c>
      <c r="C56" s="7">
        <v>5.5135002136230469</v>
      </c>
      <c r="D56">
        <v>9835.8659397908032</v>
      </c>
    </row>
    <row r="57" spans="1:4">
      <c r="A57" s="5" t="s">
        <v>37</v>
      </c>
      <c r="B57" s="3">
        <v>2019</v>
      </c>
      <c r="C57" s="7">
        <v>5.440523624420166</v>
      </c>
      <c r="D57">
        <v>10048.251964998221</v>
      </c>
    </row>
    <row r="58" spans="1:4">
      <c r="C58" s="7"/>
    </row>
    <row r="59" spans="1:4">
      <c r="C59" s="7"/>
    </row>
    <row r="60" spans="1:4">
      <c r="C60" s="7"/>
    </row>
    <row r="61" spans="1:4">
      <c r="C61" s="7"/>
    </row>
    <row r="62" spans="1:4">
      <c r="C62" s="7"/>
    </row>
    <row r="63" spans="1:4">
      <c r="C63" s="7"/>
    </row>
    <row r="64" spans="1:4">
      <c r="C64" s="7"/>
    </row>
    <row r="65" spans="3:3">
      <c r="C65" s="7"/>
    </row>
    <row r="66" spans="3:3">
      <c r="C66" s="7"/>
    </row>
    <row r="67" spans="3:3">
      <c r="C67" s="7"/>
    </row>
    <row r="68" spans="3:3">
      <c r="C68" s="7"/>
    </row>
    <row r="69" spans="3:3">
      <c r="C69" s="7"/>
    </row>
    <row r="70" spans="3:3">
      <c r="C70" s="7"/>
    </row>
    <row r="71" spans="3:3">
      <c r="C71" s="7"/>
    </row>
    <row r="72" spans="3:3">
      <c r="C72" s="7"/>
    </row>
    <row r="73" spans="3:3">
      <c r="C73" s="7"/>
    </row>
    <row r="74" spans="3:3">
      <c r="C74" s="7"/>
    </row>
    <row r="75" spans="3:3">
      <c r="C75" s="7"/>
    </row>
    <row r="76" spans="3:3">
      <c r="C76" s="7"/>
    </row>
    <row r="77" spans="3:3">
      <c r="C77" s="7"/>
    </row>
    <row r="78" spans="3:3">
      <c r="C78" s="7"/>
    </row>
    <row r="79" spans="3:3">
      <c r="C79" s="7"/>
    </row>
  </sheetData>
  <autoFilter ref="A1:D57" xr:uid="{328A3D43-EF6C-45B0-A3C4-D75DE69218F0}">
    <sortState xmlns:xlrd2="http://schemas.microsoft.com/office/spreadsheetml/2017/richdata2" ref="A2:D57">
      <sortCondition ref="A1:A57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AEDB-F677-464B-9D45-BE859FD23382}">
  <dimension ref="A1:S17"/>
  <sheetViews>
    <sheetView zoomScale="61" workbookViewId="0">
      <selection activeCell="O57" sqref="O57"/>
    </sheetView>
  </sheetViews>
  <sheetFormatPr defaultRowHeight="15"/>
  <cols>
    <col min="1" max="1" width="11.42578125" customWidth="1"/>
    <col min="3" max="3" width="12.85546875" customWidth="1"/>
    <col min="9" max="9" width="10.28515625" customWidth="1"/>
  </cols>
  <sheetData>
    <row r="1" spans="1:19">
      <c r="A1" s="33"/>
      <c r="B1" s="36" t="s">
        <v>4</v>
      </c>
      <c r="C1" s="36"/>
      <c r="D1" s="36"/>
      <c r="E1" s="36"/>
      <c r="J1" t="s">
        <v>54</v>
      </c>
      <c r="Q1" t="s">
        <v>55</v>
      </c>
    </row>
    <row r="3" spans="1:19">
      <c r="A3" s="37" t="s">
        <v>56</v>
      </c>
      <c r="B3" s="36" t="s">
        <v>9</v>
      </c>
      <c r="C3" s="36" t="s">
        <v>30</v>
      </c>
      <c r="D3" s="36" t="s">
        <v>8</v>
      </c>
      <c r="E3" s="36" t="s">
        <v>37</v>
      </c>
      <c r="H3" s="36" t="s">
        <v>56</v>
      </c>
      <c r="I3" s="36" t="s">
        <v>9</v>
      </c>
      <c r="J3" s="36" t="s">
        <v>30</v>
      </c>
      <c r="K3" s="36" t="s">
        <v>8</v>
      </c>
      <c r="L3" s="36" t="s">
        <v>9</v>
      </c>
      <c r="P3" s="36" t="s">
        <v>9</v>
      </c>
      <c r="Q3" s="36" t="s">
        <v>30</v>
      </c>
      <c r="R3" s="36" t="s">
        <v>8</v>
      </c>
      <c r="S3" s="36" t="s">
        <v>37</v>
      </c>
    </row>
    <row r="4" spans="1:19">
      <c r="A4" s="36">
        <v>2006</v>
      </c>
      <c r="B4" s="31">
        <v>0.6818767786026001</v>
      </c>
      <c r="C4" s="31">
        <v>0.85441488027572632</v>
      </c>
      <c r="D4" s="31">
        <v>0.64663594961166382</v>
      </c>
      <c r="E4" s="31">
        <v>0.89470738172531128</v>
      </c>
      <c r="H4" s="36">
        <v>2007</v>
      </c>
      <c r="I4" s="31">
        <f t="shared" ref="I4:I16" si="0">((B5-B4)/B4)*100</f>
        <v>11.404927310276561</v>
      </c>
      <c r="J4" s="31">
        <f t="shared" ref="J4:J16" si="1">((C5-C4)/C4)*100</f>
        <v>-11.840628996638438</v>
      </c>
      <c r="K4" s="31">
        <f t="shared" ref="K4:K16" si="2">((D5-D4)/D4)*100</f>
        <v>-15.196634156319009</v>
      </c>
      <c r="L4" s="31">
        <f t="shared" ref="L4:L16" si="3">((E5-E4)/E4)*100</f>
        <v>-1.1233853933117972</v>
      </c>
      <c r="O4" t="s">
        <v>19</v>
      </c>
      <c r="P4" s="31">
        <f>AVERAGE(I4:I16)</f>
        <v>1.2741910483738599</v>
      </c>
      <c r="Q4" s="31">
        <f>AVERAGE(J4:J16)</f>
        <v>0.51132517845496472</v>
      </c>
      <c r="R4" s="31">
        <f>AVERAGE(K4:K16)</f>
        <v>0.66427201444410366</v>
      </c>
      <c r="S4" s="31">
        <f>AVERAGE(L4:L16)</f>
        <v>0.15677521721023707</v>
      </c>
    </row>
    <row r="5" spans="1:19">
      <c r="A5" s="32">
        <v>2007</v>
      </c>
      <c r="B5" s="31">
        <v>0.75964432954788208</v>
      </c>
      <c r="C5" s="31">
        <v>0.75324678421020508</v>
      </c>
      <c r="D5" s="31">
        <v>0.54836905002593994</v>
      </c>
      <c r="E5" s="31">
        <v>0.88465636968612671</v>
      </c>
      <c r="H5" s="36">
        <v>2008</v>
      </c>
      <c r="I5" s="31">
        <f t="shared" si="0"/>
        <v>-6.6029320227353816</v>
      </c>
      <c r="J5" s="31">
        <f t="shared" si="1"/>
        <v>-9.1576310413610926</v>
      </c>
      <c r="K5" s="31">
        <f t="shared" si="2"/>
        <v>10.785375733714373</v>
      </c>
      <c r="L5" s="31">
        <f t="shared" si="3"/>
        <v>-0.26453181634827105</v>
      </c>
    </row>
    <row r="6" spans="1:19">
      <c r="A6" s="32">
        <v>2008</v>
      </c>
      <c r="B6" s="31">
        <v>0.70948553085327148</v>
      </c>
      <c r="C6" s="31">
        <v>0.68426722288131714</v>
      </c>
      <c r="D6" s="31">
        <v>0.6075127124786377</v>
      </c>
      <c r="E6" s="31">
        <v>0.88231617212295532</v>
      </c>
      <c r="H6" s="36">
        <v>2009</v>
      </c>
      <c r="I6" s="31">
        <f t="shared" si="0"/>
        <v>-4.1549275186017329</v>
      </c>
      <c r="J6" s="31">
        <f t="shared" si="1"/>
        <v>7.5559801357113736</v>
      </c>
      <c r="K6" s="31">
        <f t="shared" si="2"/>
        <v>-10.534701833881259</v>
      </c>
      <c r="L6" s="31">
        <f t="shared" si="3"/>
        <v>2.9195202072795778</v>
      </c>
    </row>
    <row r="7" spans="1:19">
      <c r="A7" s="32">
        <v>2009</v>
      </c>
      <c r="B7" s="31">
        <v>0.68000692129135132</v>
      </c>
      <c r="C7" s="31">
        <v>0.73597031831741333</v>
      </c>
      <c r="D7" s="31">
        <v>0.54351305961608887</v>
      </c>
      <c r="E7" s="31">
        <v>0.90807557106018066</v>
      </c>
      <c r="H7" s="36">
        <v>2010</v>
      </c>
      <c r="I7" s="31">
        <f t="shared" si="0"/>
        <v>-2.8918213880851353</v>
      </c>
      <c r="J7" s="31">
        <f t="shared" si="1"/>
        <v>-6.6537096924543553</v>
      </c>
      <c r="K7" s="31">
        <f t="shared" si="2"/>
        <v>-0.57480088030709853</v>
      </c>
      <c r="L7" s="31">
        <f t="shared" si="3"/>
        <v>8.1339128768137536E-2</v>
      </c>
    </row>
    <row r="8" spans="1:19">
      <c r="A8" s="32">
        <v>2010</v>
      </c>
      <c r="B8" s="31">
        <v>0.66034233570098877</v>
      </c>
      <c r="C8" s="31">
        <v>0.68700098991394043</v>
      </c>
      <c r="D8" s="31">
        <v>0.54038894176483154</v>
      </c>
      <c r="E8" s="31">
        <v>0.9088141918182373</v>
      </c>
      <c r="H8" s="36">
        <v>2011</v>
      </c>
      <c r="I8" s="31">
        <f t="shared" si="0"/>
        <v>6.77923035415869</v>
      </c>
      <c r="J8" s="31">
        <f t="shared" si="1"/>
        <v>5.5593701316436528</v>
      </c>
      <c r="K8" s="31">
        <f t="shared" si="2"/>
        <v>-6.9304832817903641</v>
      </c>
      <c r="L8" s="31">
        <f t="shared" si="3"/>
        <v>-2.7945537106328877</v>
      </c>
    </row>
    <row r="9" spans="1:19">
      <c r="A9" s="32">
        <v>2011</v>
      </c>
      <c r="B9" s="31">
        <v>0.70510846376419067</v>
      </c>
      <c r="C9" s="31">
        <v>0.72519391775131226</v>
      </c>
      <c r="D9" s="31">
        <v>0.50293737649917603</v>
      </c>
      <c r="E9" s="31">
        <v>0.88341689109802246</v>
      </c>
      <c r="H9" s="36">
        <v>2012</v>
      </c>
      <c r="I9" s="31">
        <f t="shared" si="0"/>
        <v>-4.0649102090600842</v>
      </c>
      <c r="J9" s="31">
        <f t="shared" si="1"/>
        <v>5.057864743499386</v>
      </c>
      <c r="K9" s="31">
        <f t="shared" si="2"/>
        <v>5.895183025043349</v>
      </c>
      <c r="L9" s="31">
        <f t="shared" si="3"/>
        <v>2.0237596277135652</v>
      </c>
    </row>
    <row r="10" spans="1:19">
      <c r="A10" s="32">
        <v>2012</v>
      </c>
      <c r="B10" s="31">
        <v>0.67644643783569336</v>
      </c>
      <c r="C10" s="31">
        <v>0.76187324523925781</v>
      </c>
      <c r="D10" s="31">
        <v>0.53258645534515381</v>
      </c>
      <c r="E10" s="31">
        <v>0.90129512548446655</v>
      </c>
      <c r="H10" s="36">
        <v>2013</v>
      </c>
      <c r="I10" s="31">
        <f t="shared" si="0"/>
        <v>6.9205194376753028</v>
      </c>
      <c r="J10" s="31">
        <f t="shared" si="1"/>
        <v>1.0260119767374907</v>
      </c>
      <c r="K10" s="31">
        <f t="shared" si="2"/>
        <v>4.9906114141656737</v>
      </c>
      <c r="L10" s="31">
        <f t="shared" si="3"/>
        <v>-2.2676406531402917</v>
      </c>
    </row>
    <row r="11" spans="1:19">
      <c r="A11" s="32">
        <v>2013</v>
      </c>
      <c r="B11" s="31">
        <v>0.72326004505157471</v>
      </c>
      <c r="C11" s="31">
        <v>0.76969015598297119</v>
      </c>
      <c r="D11" s="31">
        <v>0.55916577577590942</v>
      </c>
      <c r="E11" s="31">
        <v>0.88085699081420898</v>
      </c>
      <c r="H11" s="36">
        <v>2014</v>
      </c>
      <c r="I11" s="31">
        <f t="shared" si="0"/>
        <v>2.1435535165221862</v>
      </c>
      <c r="J11" s="31">
        <f t="shared" si="1"/>
        <v>3.8643075202245627</v>
      </c>
      <c r="K11" s="31">
        <f t="shared" si="2"/>
        <v>-0.13337248947234615</v>
      </c>
      <c r="L11" s="31">
        <f t="shared" si="3"/>
        <v>5.7782856084937348</v>
      </c>
    </row>
    <row r="12" spans="1:19">
      <c r="A12" s="32">
        <v>2014</v>
      </c>
      <c r="B12" s="31">
        <v>0.73876351118087769</v>
      </c>
      <c r="C12" s="31">
        <v>0.79943335056304932</v>
      </c>
      <c r="D12" s="31">
        <v>0.55842000246047974</v>
      </c>
      <c r="E12" s="31">
        <v>0.9317554235458374</v>
      </c>
      <c r="H12" s="36">
        <v>2015</v>
      </c>
      <c r="I12" s="31">
        <f t="shared" si="0"/>
        <v>-2.1945403547329256</v>
      </c>
      <c r="J12" s="31">
        <f t="shared" si="1"/>
        <v>-1.7175397505537098</v>
      </c>
      <c r="K12" s="31">
        <f t="shared" si="2"/>
        <v>-7.3508125378319562</v>
      </c>
      <c r="L12" s="31">
        <f t="shared" si="3"/>
        <v>-0.79335927199787204</v>
      </c>
    </row>
    <row r="13" spans="1:19">
      <c r="A13" s="32">
        <v>2015</v>
      </c>
      <c r="B13" s="31">
        <v>0.72255104780197144</v>
      </c>
      <c r="C13" s="31">
        <v>0.78570276498794556</v>
      </c>
      <c r="D13" s="31">
        <v>0.51737159490585327</v>
      </c>
      <c r="E13" s="31">
        <v>0.92436325550079346</v>
      </c>
      <c r="H13" s="36">
        <v>2016</v>
      </c>
      <c r="I13" s="31">
        <f t="shared" si="0"/>
        <v>-1.8452294286731292</v>
      </c>
      <c r="J13" s="31">
        <f t="shared" si="1"/>
        <v>-1.0731453458358258</v>
      </c>
      <c r="K13" s="31">
        <f t="shared" si="2"/>
        <v>3.1004181425117698</v>
      </c>
      <c r="L13" s="31">
        <f t="shared" si="3"/>
        <v>-1.4535303227793324</v>
      </c>
    </row>
    <row r="14" spans="1:19">
      <c r="A14" s="32">
        <v>2016</v>
      </c>
      <c r="B14" s="31">
        <v>0.70921832323074341</v>
      </c>
      <c r="C14" s="31">
        <v>0.77727103233337402</v>
      </c>
      <c r="D14" s="31">
        <v>0.53341227769851685</v>
      </c>
      <c r="E14" s="31">
        <v>0.91092735528945923</v>
      </c>
      <c r="H14" s="36">
        <v>2017</v>
      </c>
      <c r="I14" s="31">
        <f t="shared" si="0"/>
        <v>-1.5923744332263272</v>
      </c>
      <c r="J14" s="31">
        <f t="shared" si="1"/>
        <v>1.2567516872891751</v>
      </c>
      <c r="K14" s="31">
        <f t="shared" si="2"/>
        <v>10.701458112386474</v>
      </c>
      <c r="L14" s="31">
        <f t="shared" si="3"/>
        <v>-1.6220888481023634</v>
      </c>
    </row>
    <row r="15" spans="1:19">
      <c r="A15" s="32">
        <v>2017</v>
      </c>
      <c r="B15" s="31">
        <v>0.6979249119758606</v>
      </c>
      <c r="C15" s="31">
        <v>0.78703939914703369</v>
      </c>
      <c r="D15" s="31">
        <v>0.59049516916275024</v>
      </c>
      <c r="E15" s="31">
        <v>0.89615130424499512</v>
      </c>
      <c r="H15" s="36">
        <v>2018</v>
      </c>
      <c r="I15" s="31">
        <f t="shared" si="0"/>
        <v>16.695793244256649</v>
      </c>
      <c r="J15" s="31">
        <f t="shared" si="1"/>
        <v>-0.73814422996092954</v>
      </c>
      <c r="K15" s="31">
        <f t="shared" si="2"/>
        <v>4.5255890738392015</v>
      </c>
      <c r="L15" s="31">
        <f t="shared" si="3"/>
        <v>1.4031996437095393</v>
      </c>
    </row>
    <row r="16" spans="1:19">
      <c r="A16" s="32">
        <v>2018</v>
      </c>
      <c r="B16" s="31">
        <v>0.8144490122795105</v>
      </c>
      <c r="C16" s="31">
        <v>0.78122991323471069</v>
      </c>
      <c r="D16" s="31">
        <v>0.61721855401992798</v>
      </c>
      <c r="E16" s="31">
        <v>0.90872609615325928</v>
      </c>
      <c r="H16" s="36">
        <v>2019</v>
      </c>
      <c r="I16" s="31">
        <f t="shared" si="0"/>
        <v>-4.0328048789144937</v>
      </c>
      <c r="J16" s="31">
        <f t="shared" si="1"/>
        <v>13.507740181613251</v>
      </c>
      <c r="K16" s="31">
        <f t="shared" si="2"/>
        <v>9.3577058657145393</v>
      </c>
      <c r="L16" s="31">
        <f t="shared" si="3"/>
        <v>0.1510636240813428</v>
      </c>
    </row>
    <row r="17" spans="1:5">
      <c r="A17" s="32">
        <v>2019</v>
      </c>
      <c r="B17" s="31">
        <v>0.78160387277603149</v>
      </c>
      <c r="C17" s="31">
        <v>0.88675642013549805</v>
      </c>
      <c r="D17" s="31">
        <v>0.67497605085372925</v>
      </c>
      <c r="E17" s="31">
        <v>0.9100988507270813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1E79-F721-4579-95FC-47A151246FB3}">
  <dimension ref="B2:U32"/>
  <sheetViews>
    <sheetView zoomScale="59" workbookViewId="0">
      <selection activeCell="H24" sqref="H24"/>
    </sheetView>
  </sheetViews>
  <sheetFormatPr defaultColWidth="12.5703125" defaultRowHeight="15.75"/>
  <cols>
    <col min="1" max="16384" width="12.5703125" style="60"/>
  </cols>
  <sheetData>
    <row r="2" spans="3:21">
      <c r="D2" s="60" t="s">
        <v>12</v>
      </c>
      <c r="K2" s="60" t="s">
        <v>57</v>
      </c>
      <c r="R2" s="60" t="s">
        <v>58</v>
      </c>
    </row>
    <row r="4" spans="3:21">
      <c r="D4" s="60" t="s">
        <v>9</v>
      </c>
      <c r="E4" s="60" t="s">
        <v>30</v>
      </c>
      <c r="F4" s="60" t="s">
        <v>8</v>
      </c>
      <c r="G4" s="60" t="s">
        <v>37</v>
      </c>
      <c r="J4" s="63"/>
      <c r="R4" s="60" t="s">
        <v>9</v>
      </c>
      <c r="S4" s="60" t="s">
        <v>30</v>
      </c>
      <c r="T4" s="60" t="s">
        <v>8</v>
      </c>
      <c r="U4" s="60" t="s">
        <v>37</v>
      </c>
    </row>
    <row r="5" spans="3:21">
      <c r="C5" s="63" t="s">
        <v>1</v>
      </c>
      <c r="J5" s="61" t="s">
        <v>1</v>
      </c>
      <c r="K5" s="60" t="s">
        <v>9</v>
      </c>
      <c r="L5" s="60" t="s">
        <v>30</v>
      </c>
      <c r="M5" s="60" t="s">
        <v>8</v>
      </c>
      <c r="N5" s="60" t="s">
        <v>37</v>
      </c>
      <c r="Q5" s="60" t="s">
        <v>19</v>
      </c>
      <c r="R5" s="60">
        <f>AVERAGE(K6:K18)</f>
        <v>0.38384506855808481</v>
      </c>
      <c r="S5" s="60">
        <f>AVERAGE(L6:L18)</f>
        <v>0.37499103761033142</v>
      </c>
      <c r="T5" s="60">
        <f>AVERAGE(M6:M18)</f>
        <v>0.16841880306046259</v>
      </c>
      <c r="U5" s="60">
        <f>AVERAGE(N6:N18)</f>
        <v>0.68607180206364038</v>
      </c>
    </row>
    <row r="6" spans="3:21">
      <c r="C6" s="61">
        <v>2006</v>
      </c>
      <c r="D6" s="62">
        <v>63.840000152587891</v>
      </c>
      <c r="E6" s="62">
        <v>60.580001831054688</v>
      </c>
      <c r="F6" s="62">
        <v>63.299999237060547</v>
      </c>
      <c r="G6" s="62">
        <v>58.740001678466797</v>
      </c>
      <c r="J6" s="61">
        <v>2007</v>
      </c>
      <c r="K6" s="60">
        <f t="shared" ref="K6:K18" si="0">(D7-D6)/D6*100</f>
        <v>0.37594247790281043</v>
      </c>
      <c r="L6" s="60">
        <f t="shared" ref="L6:L18" si="1">(E7-E6)/E6*100</f>
        <v>0.46219671646385002</v>
      </c>
      <c r="M6" s="60">
        <f t="shared" ref="M6:M18" si="2">(F7-F6)/F6*100</f>
        <v>0.15798150082727105</v>
      </c>
      <c r="N6" s="60">
        <f t="shared" ref="N6:N18" si="3">(G7-G6)/G6*100</f>
        <v>0.74906131109335883</v>
      </c>
    </row>
    <row r="7" spans="3:21">
      <c r="C7" s="61">
        <v>2007</v>
      </c>
      <c r="D7" s="62">
        <v>64.080001831054688</v>
      </c>
      <c r="E7" s="62">
        <v>60.860000610351563</v>
      </c>
      <c r="F7" s="62">
        <v>63.400001525878906</v>
      </c>
      <c r="G7" s="62">
        <v>59.180000305175781</v>
      </c>
      <c r="J7" s="61">
        <v>2008</v>
      </c>
      <c r="K7" s="60">
        <f t="shared" si="0"/>
        <v>0.37452849081103273</v>
      </c>
      <c r="L7" s="60">
        <f t="shared" si="1"/>
        <v>0.46007028670527245</v>
      </c>
      <c r="M7" s="60">
        <f t="shared" si="2"/>
        <v>0.15772629607946606</v>
      </c>
      <c r="N7" s="60">
        <f t="shared" si="3"/>
        <v>0.74349209942552641</v>
      </c>
    </row>
    <row r="8" spans="3:21">
      <c r="C8" s="61">
        <v>2008</v>
      </c>
      <c r="D8" s="62">
        <v>64.319999694824219</v>
      </c>
      <c r="E8" s="62">
        <v>61.139999389648438</v>
      </c>
      <c r="F8" s="62">
        <v>63.5</v>
      </c>
      <c r="G8" s="62">
        <v>59.619998931884766</v>
      </c>
      <c r="J8" s="61">
        <v>2009</v>
      </c>
      <c r="K8" s="60">
        <f t="shared" si="0"/>
        <v>0.37313100887474615</v>
      </c>
      <c r="L8" s="60">
        <f t="shared" si="1"/>
        <v>0.45796333348390805</v>
      </c>
      <c r="M8" s="60">
        <f t="shared" si="2"/>
        <v>0.15747791200172243</v>
      </c>
      <c r="N8" s="60">
        <f t="shared" si="3"/>
        <v>0.73801148824062923</v>
      </c>
    </row>
    <row r="9" spans="3:21">
      <c r="C9" s="61">
        <v>2009</v>
      </c>
      <c r="D9" s="62">
        <v>64.55999755859375</v>
      </c>
      <c r="E9" s="62">
        <v>61.419998168945313</v>
      </c>
      <c r="F9" s="62">
        <v>63.599998474121094</v>
      </c>
      <c r="G9" s="62">
        <v>60.060001373291016</v>
      </c>
      <c r="J9" s="61">
        <v>2010</v>
      </c>
      <c r="K9" s="60">
        <f t="shared" si="0"/>
        <v>0.37175573457269245</v>
      </c>
      <c r="L9" s="60">
        <f t="shared" si="1"/>
        <v>0.45588180127252637</v>
      </c>
      <c r="M9" s="60">
        <f t="shared" si="2"/>
        <v>0.15723630694590413</v>
      </c>
      <c r="N9" s="60">
        <f t="shared" si="3"/>
        <v>0.73259842931780883</v>
      </c>
    </row>
    <row r="10" spans="3:21">
      <c r="C10" s="61">
        <v>2010</v>
      </c>
      <c r="D10" s="62">
        <v>64.800003051757813</v>
      </c>
      <c r="E10" s="62">
        <v>61.700000762939453</v>
      </c>
      <c r="F10" s="62">
        <v>63.700000762939453</v>
      </c>
      <c r="G10" s="62">
        <v>60.5</v>
      </c>
      <c r="J10" s="61">
        <v>2011</v>
      </c>
      <c r="K10" s="60">
        <f t="shared" si="0"/>
        <v>0.37036705627596556</v>
      </c>
      <c r="L10" s="60">
        <f t="shared" si="1"/>
        <v>0.45380676796532277</v>
      </c>
      <c r="M10" s="60">
        <f t="shared" si="2"/>
        <v>0.15698347397708773</v>
      </c>
      <c r="N10" s="60">
        <f t="shared" si="3"/>
        <v>0.72727045737022211</v>
      </c>
    </row>
    <row r="11" spans="3:21">
      <c r="C11" s="61">
        <v>2011</v>
      </c>
      <c r="D11" s="62">
        <v>65.040000915527344</v>
      </c>
      <c r="E11" s="62">
        <v>61.979999542236328</v>
      </c>
      <c r="F11" s="62">
        <v>63.799999237060547</v>
      </c>
      <c r="G11" s="62">
        <v>60.939998626708984</v>
      </c>
      <c r="J11" s="61">
        <v>2012</v>
      </c>
      <c r="K11" s="60">
        <f t="shared" si="0"/>
        <v>0.36900040035552228</v>
      </c>
      <c r="L11" s="60">
        <f t="shared" si="1"/>
        <v>0.45175666564190525</v>
      </c>
      <c r="M11" s="60">
        <f t="shared" si="2"/>
        <v>0.15674340127620159</v>
      </c>
      <c r="N11" s="60">
        <f t="shared" si="3"/>
        <v>0.72202568316666205</v>
      </c>
    </row>
    <row r="12" spans="3:21">
      <c r="C12" s="61">
        <v>2012</v>
      </c>
      <c r="D12" s="62">
        <v>65.279998779296875</v>
      </c>
      <c r="E12" s="62">
        <v>62.259998321533203</v>
      </c>
      <c r="F12" s="62">
        <v>63.900001525878906</v>
      </c>
      <c r="G12" s="62">
        <v>61.380001068115234</v>
      </c>
      <c r="J12" s="61">
        <v>2013</v>
      </c>
      <c r="K12" s="60">
        <f t="shared" si="0"/>
        <v>0.36764379328641317</v>
      </c>
      <c r="L12" s="60">
        <f t="shared" si="1"/>
        <v>0.44973113000759446</v>
      </c>
      <c r="M12" s="60">
        <f t="shared" si="2"/>
        <v>0.15649213103789253</v>
      </c>
      <c r="N12" s="60">
        <f t="shared" si="3"/>
        <v>0.71684362830281589</v>
      </c>
    </row>
    <row r="13" spans="3:21">
      <c r="C13" s="61">
        <v>2013</v>
      </c>
      <c r="D13" s="62">
        <v>65.519996643066406</v>
      </c>
      <c r="E13" s="62">
        <v>62.540000915527344</v>
      </c>
      <c r="F13" s="62">
        <v>64</v>
      </c>
      <c r="G13" s="62">
        <v>61.819999694824219</v>
      </c>
      <c r="J13" s="61">
        <v>2014</v>
      </c>
      <c r="K13" s="60">
        <f t="shared" si="0"/>
        <v>0.36630876901832204</v>
      </c>
      <c r="L13" s="60">
        <f t="shared" si="1"/>
        <v>0.44771150495355572</v>
      </c>
      <c r="M13" s="60">
        <f t="shared" si="2"/>
        <v>0.15624761581420898</v>
      </c>
      <c r="N13" s="60">
        <f t="shared" si="3"/>
        <v>0.71174155432068464</v>
      </c>
    </row>
    <row r="14" spans="3:21">
      <c r="C14" s="61">
        <v>2014</v>
      </c>
      <c r="D14" s="62">
        <v>65.760002136230469</v>
      </c>
      <c r="E14" s="62">
        <v>62.819999694824219</v>
      </c>
      <c r="F14" s="62">
        <v>64.099998474121094</v>
      </c>
      <c r="G14" s="62">
        <v>62.259998321533203</v>
      </c>
      <c r="J14" s="61">
        <v>2015</v>
      </c>
      <c r="K14" s="60">
        <f t="shared" si="0"/>
        <v>0.3649602432681559</v>
      </c>
      <c r="L14" s="60">
        <f t="shared" si="1"/>
        <v>0.44571598321727512</v>
      </c>
      <c r="M14" s="60">
        <f t="shared" si="2"/>
        <v>0.156003863496917</v>
      </c>
      <c r="N14" s="60">
        <f t="shared" si="3"/>
        <v>0.70671772127894683</v>
      </c>
    </row>
    <row r="15" spans="3:21">
      <c r="C15" s="61">
        <v>2015</v>
      </c>
      <c r="D15" s="62">
        <v>66</v>
      </c>
      <c r="E15" s="62">
        <v>63.099998474121094</v>
      </c>
      <c r="F15" s="62">
        <v>64.199996948242188</v>
      </c>
      <c r="G15" s="62">
        <v>62.700000762939453</v>
      </c>
      <c r="J15" s="61">
        <v>2016</v>
      </c>
      <c r="K15" s="60">
        <f t="shared" si="0"/>
        <v>0.41666897860440338</v>
      </c>
      <c r="L15" s="60">
        <f t="shared" si="1"/>
        <v>0.19809826152573629</v>
      </c>
      <c r="M15" s="60">
        <f t="shared" si="2"/>
        <v>0.19470405909952701</v>
      </c>
      <c r="N15" s="60">
        <f t="shared" si="3"/>
        <v>0.59808611712434623</v>
      </c>
    </row>
    <row r="16" spans="3:21">
      <c r="C16" s="61">
        <v>2016</v>
      </c>
      <c r="D16" s="62">
        <v>66.275001525878906</v>
      </c>
      <c r="E16" s="62">
        <v>63.224998474121094</v>
      </c>
      <c r="F16" s="62">
        <v>64.324996948242188</v>
      </c>
      <c r="G16" s="62">
        <v>63.075000762939453</v>
      </c>
      <c r="J16" s="61">
        <v>2017</v>
      </c>
      <c r="K16" s="60">
        <f t="shared" si="0"/>
        <v>0.41494005212738366</v>
      </c>
      <c r="L16" s="60">
        <f t="shared" si="1"/>
        <v>0.19770660817202598</v>
      </c>
      <c r="M16" s="60">
        <f t="shared" si="2"/>
        <v>0.19432569907555336</v>
      </c>
      <c r="N16" s="60">
        <f t="shared" si="3"/>
        <v>0.59453031385508315</v>
      </c>
    </row>
    <row r="17" spans="2:14">
      <c r="C17" s="61">
        <v>2017</v>
      </c>
      <c r="D17" s="62">
        <v>66.550003051757813</v>
      </c>
      <c r="E17" s="62">
        <v>63.349998474121094</v>
      </c>
      <c r="F17" s="62">
        <v>64.449996948242188</v>
      </c>
      <c r="G17" s="62">
        <v>63.450000762939453</v>
      </c>
      <c r="J17" s="61">
        <v>2018</v>
      </c>
      <c r="K17" s="60">
        <f t="shared" si="0"/>
        <v>0.41321395022402102</v>
      </c>
      <c r="L17" s="60">
        <f t="shared" si="1"/>
        <v>0.19731650041169826</v>
      </c>
      <c r="M17" s="60">
        <f t="shared" si="2"/>
        <v>0.1939488067010828</v>
      </c>
      <c r="N17" s="60">
        <f t="shared" si="3"/>
        <v>0.59101654135681891</v>
      </c>
    </row>
    <row r="18" spans="2:14">
      <c r="C18" s="61">
        <v>2018</v>
      </c>
      <c r="D18" s="62">
        <v>66.824996948242188</v>
      </c>
      <c r="E18" s="62">
        <v>63.474998474121094</v>
      </c>
      <c r="F18" s="62">
        <v>64.574996948242188</v>
      </c>
      <c r="G18" s="62">
        <v>63.825000762939453</v>
      </c>
      <c r="J18" s="61">
        <v>2019</v>
      </c>
      <c r="K18" s="60">
        <f t="shared" si="0"/>
        <v>0.41152493593363354</v>
      </c>
      <c r="L18" s="60">
        <f t="shared" si="1"/>
        <v>0.19692792911363802</v>
      </c>
      <c r="M18" s="60">
        <f t="shared" si="2"/>
        <v>0.19357337345317932</v>
      </c>
      <c r="N18" s="60">
        <f t="shared" si="3"/>
        <v>0.58753808197442159</v>
      </c>
    </row>
    <row r="19" spans="2:14">
      <c r="C19" s="61">
        <v>2019</v>
      </c>
      <c r="D19" s="62">
        <v>67.099998474121094</v>
      </c>
      <c r="E19" s="62">
        <v>63.599998474121094</v>
      </c>
      <c r="F19" s="62">
        <v>64.699996948242188</v>
      </c>
      <c r="G19" s="62">
        <v>64.199996948242188</v>
      </c>
    </row>
    <row r="20" spans="2:14">
      <c r="C20" s="61"/>
    </row>
    <row r="21" spans="2:14">
      <c r="B21" s="60" t="s">
        <v>59</v>
      </c>
      <c r="C21" s="61"/>
      <c r="K21" s="60" t="s">
        <v>60</v>
      </c>
    </row>
    <row r="22" spans="2:14">
      <c r="C22" s="61"/>
    </row>
    <row r="23" spans="2:14">
      <c r="C23" s="61"/>
    </row>
    <row r="24" spans="2:14">
      <c r="C24" s="61"/>
    </row>
    <row r="25" spans="2:14">
      <c r="C25" s="61"/>
    </row>
    <row r="26" spans="2:14">
      <c r="C26" s="61"/>
    </row>
    <row r="27" spans="2:14">
      <c r="C27" s="61"/>
    </row>
    <row r="28" spans="2:14">
      <c r="C28" s="61"/>
    </row>
    <row r="29" spans="2:14">
      <c r="C29" s="61"/>
    </row>
    <row r="30" spans="2:14">
      <c r="C30" s="61"/>
    </row>
    <row r="31" spans="2:14">
      <c r="C31" s="61"/>
    </row>
    <row r="32" spans="2:14">
      <c r="C32" s="6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944A-C545-4DD0-B49C-369E274225C1}">
  <dimension ref="A2:Q36"/>
  <sheetViews>
    <sheetView zoomScale="55" zoomScaleNormal="55" workbookViewId="0">
      <selection activeCell="C2" sqref="C2"/>
    </sheetView>
  </sheetViews>
  <sheetFormatPr defaultRowHeight="15"/>
  <cols>
    <col min="1" max="2" width="9.140625" style="2"/>
    <col min="3" max="3" width="11.5703125" style="2" customWidth="1"/>
    <col min="4" max="14" width="9.140625" style="2"/>
    <col min="15" max="15" width="10.85546875" style="2" customWidth="1"/>
    <col min="16" max="16384" width="9.140625" style="2"/>
  </cols>
  <sheetData>
    <row r="2" spans="1:5" ht="15.75">
      <c r="C2" s="47" t="s">
        <v>7</v>
      </c>
    </row>
    <row r="3" spans="1:5">
      <c r="B3" s="45" t="s">
        <v>9</v>
      </c>
      <c r="C3" s="45" t="s">
        <v>30</v>
      </c>
      <c r="D3" s="45" t="s">
        <v>8</v>
      </c>
      <c r="E3" s="45" t="s">
        <v>37</v>
      </c>
    </row>
    <row r="4" spans="1:5">
      <c r="A4" s="45" t="s">
        <v>1</v>
      </c>
    </row>
    <row r="5" spans="1:5">
      <c r="A5" s="44">
        <v>2006</v>
      </c>
      <c r="B5" s="48">
        <v>-0.23490116000175476</v>
      </c>
      <c r="C5" s="48">
        <v>-0.2392495721578598</v>
      </c>
      <c r="D5" s="48">
        <v>-0.27255910634994507</v>
      </c>
      <c r="E5" s="48">
        <v>-0.31214404106140137</v>
      </c>
    </row>
    <row r="6" spans="1:5">
      <c r="A6" s="44">
        <v>2007</v>
      </c>
      <c r="B6" s="48">
        <v>-0.25497710704803467</v>
      </c>
      <c r="C6" s="48">
        <v>-0.21111249923706055</v>
      </c>
      <c r="D6" s="48">
        <v>-0.27222028374671936</v>
      </c>
      <c r="E6" s="48">
        <v>-0.28935009241104126</v>
      </c>
    </row>
    <row r="7" spans="1:5">
      <c r="A7" s="44">
        <v>2008</v>
      </c>
      <c r="B7" s="48">
        <v>-0.21904514729976654</v>
      </c>
      <c r="C7" s="48">
        <v>-3.381616622209549E-2</v>
      </c>
      <c r="D7" s="48">
        <v>-0.22981572151184082</v>
      </c>
      <c r="E7" s="48">
        <v>-0.31063604354858398</v>
      </c>
    </row>
    <row r="8" spans="1:5">
      <c r="A8" s="44">
        <v>2009</v>
      </c>
      <c r="B8" s="48">
        <v>-0.21777066588401794</v>
      </c>
      <c r="C8" s="48">
        <v>-9.1217078268527985E-2</v>
      </c>
      <c r="D8" s="48">
        <v>-0.23808903992176056</v>
      </c>
      <c r="E8" s="48">
        <v>-0.28898179531097412</v>
      </c>
    </row>
    <row r="9" spans="1:5">
      <c r="A9" s="44">
        <v>2010</v>
      </c>
      <c r="B9" s="48">
        <v>-0.17998570203781128</v>
      </c>
      <c r="C9" s="48">
        <v>-0.1277264803647995</v>
      </c>
      <c r="D9" s="48">
        <v>-0.25316470861434937</v>
      </c>
      <c r="E9" s="48">
        <v>-0.30197861790657043</v>
      </c>
    </row>
    <row r="10" spans="1:5">
      <c r="A10" s="44">
        <v>2011</v>
      </c>
      <c r="B10" s="48">
        <v>-0.22973772883415222</v>
      </c>
      <c r="C10" s="48">
        <v>-0.11023659259080887</v>
      </c>
      <c r="D10" s="48">
        <v>-0.26043832302093506</v>
      </c>
      <c r="E10" s="48">
        <v>-0.28445571660995483</v>
      </c>
    </row>
    <row r="11" spans="1:5">
      <c r="A11" s="44">
        <v>2012</v>
      </c>
      <c r="B11" s="48">
        <v>-0.22002717852592468</v>
      </c>
      <c r="C11" s="48">
        <v>-0.14562302827835083</v>
      </c>
      <c r="D11" s="48">
        <v>-0.27456489205360413</v>
      </c>
      <c r="E11" s="48">
        <v>-0.29825288057327271</v>
      </c>
    </row>
    <row r="12" spans="1:5">
      <c r="A12" s="44">
        <v>2013</v>
      </c>
      <c r="B12" s="48">
        <v>-0.20098087191581726</v>
      </c>
      <c r="C12" s="48">
        <v>-0.1734439879655838</v>
      </c>
      <c r="D12" s="48">
        <v>-0.2596762478351593</v>
      </c>
      <c r="E12" s="48">
        <v>-0.29497125744819641</v>
      </c>
    </row>
    <row r="13" spans="1:5">
      <c r="A13" s="44">
        <v>2014</v>
      </c>
      <c r="B13" s="48">
        <v>-0.22462782263755798</v>
      </c>
      <c r="C13" s="48">
        <v>-0.21381649374961853</v>
      </c>
      <c r="D13" s="48">
        <v>-0.23858177661895752</v>
      </c>
      <c r="E13" s="48">
        <v>-0.27019765973091125</v>
      </c>
    </row>
    <row r="14" spans="1:5">
      <c r="A14" s="44">
        <v>2015</v>
      </c>
      <c r="B14" s="48">
        <v>-0.20938660204410553</v>
      </c>
      <c r="C14" s="48">
        <v>-0.20340487360954285</v>
      </c>
      <c r="D14" s="48">
        <v>-0.21042811870574951</v>
      </c>
      <c r="E14" s="48">
        <v>-0.17669197916984558</v>
      </c>
    </row>
    <row r="15" spans="1:5">
      <c r="A15" s="44">
        <v>2016</v>
      </c>
      <c r="B15" s="48">
        <v>-0.17776034772396088</v>
      </c>
      <c r="C15" s="48">
        <v>-0.20979988574981689</v>
      </c>
      <c r="D15" s="48">
        <v>-0.25481438636779785</v>
      </c>
      <c r="E15" s="48">
        <v>-0.18687869608402252</v>
      </c>
    </row>
    <row r="16" spans="1:5">
      <c r="A16" s="44">
        <v>2017</v>
      </c>
      <c r="B16" s="48">
        <v>-0.15476050972938538</v>
      </c>
      <c r="C16" s="48">
        <v>-0.23079732060432434</v>
      </c>
      <c r="D16" s="48">
        <v>-0.2495434433221817</v>
      </c>
      <c r="E16" s="48">
        <v>-0.15059798955917358</v>
      </c>
    </row>
    <row r="17" spans="1:17">
      <c r="A17" s="44">
        <v>2018</v>
      </c>
      <c r="B17" s="48">
        <v>-0.17107826471328735</v>
      </c>
      <c r="C17" s="48">
        <v>-0.23728296160697937</v>
      </c>
      <c r="D17" s="48">
        <v>-0.23838350176811218</v>
      </c>
      <c r="E17" s="48">
        <v>-0.15297549962997437</v>
      </c>
    </row>
    <row r="18" spans="1:17">
      <c r="A18" s="44">
        <v>2019</v>
      </c>
      <c r="B18" s="48">
        <v>-0.18142963945865631</v>
      </c>
      <c r="C18" s="48">
        <v>-0.22002698481082916</v>
      </c>
      <c r="D18" s="48">
        <v>-0.26528984308242798</v>
      </c>
      <c r="E18" s="48">
        <v>-0.1219959631562233</v>
      </c>
    </row>
    <row r="22" spans="1:17" ht="15.75">
      <c r="C22" s="47" t="s">
        <v>61</v>
      </c>
      <c r="O22" s="46" t="s">
        <v>62</v>
      </c>
      <c r="P22" s="46"/>
      <c r="Q22" s="46"/>
    </row>
    <row r="23" spans="1:17">
      <c r="B23" s="45" t="s">
        <v>9</v>
      </c>
      <c r="C23" s="45" t="s">
        <v>30</v>
      </c>
      <c r="D23" s="45" t="s">
        <v>8</v>
      </c>
      <c r="E23" s="45" t="s">
        <v>37</v>
      </c>
    </row>
    <row r="24" spans="1:17">
      <c r="A24" s="44">
        <v>2007</v>
      </c>
      <c r="B24" s="2">
        <f t="shared" ref="B24:E36" si="0">(B6-B5)/B5*100</f>
        <v>8.5465508327544804</v>
      </c>
      <c r="C24" s="2">
        <f t="shared" si="0"/>
        <v>-11.760553077283694</v>
      </c>
      <c r="D24" s="2">
        <f t="shared" si="0"/>
        <v>-0.12431160630189536</v>
      </c>
      <c r="E24" s="2">
        <f t="shared" si="0"/>
        <v>-7.3023814815918087</v>
      </c>
      <c r="O24" s="2" t="s">
        <v>9</v>
      </c>
      <c r="P24" s="2">
        <f>AVERAGE(B24:B36)</f>
        <v>-1.1682271245095335</v>
      </c>
    </row>
    <row r="25" spans="1:17">
      <c r="A25" s="44">
        <v>2008</v>
      </c>
      <c r="B25" s="2">
        <f t="shared" si="0"/>
        <v>-14.092229755159538</v>
      </c>
      <c r="C25" s="2">
        <f t="shared" si="0"/>
        <v>-83.98192132426847</v>
      </c>
      <c r="D25" s="2">
        <f t="shared" si="0"/>
        <v>-15.577297051946656</v>
      </c>
      <c r="E25" s="2">
        <f t="shared" si="0"/>
        <v>7.3564694450847457</v>
      </c>
      <c r="O25" s="2" t="s">
        <v>30</v>
      </c>
      <c r="P25" s="2">
        <f>AVERAGE(C24:C36)</f>
        <v>13.741222039444303</v>
      </c>
    </row>
    <row r="26" spans="1:17">
      <c r="A26" s="44">
        <v>2009</v>
      </c>
      <c r="B26" s="2">
        <f t="shared" si="0"/>
        <v>-0.581835037872101</v>
      </c>
      <c r="C26" s="2">
        <f t="shared" si="0"/>
        <v>169.74399661226744</v>
      </c>
      <c r="D26" s="2">
        <f t="shared" si="0"/>
        <v>3.5999793031972671</v>
      </c>
      <c r="E26" s="2">
        <f t="shared" si="0"/>
        <v>-6.9709387198730228</v>
      </c>
      <c r="O26" s="2" t="s">
        <v>8</v>
      </c>
      <c r="P26" s="2">
        <f>AVERAGE(D24:D36)</f>
        <v>0.23236488654026757</v>
      </c>
    </row>
    <row r="27" spans="1:17">
      <c r="A27" s="44">
        <v>2010</v>
      </c>
      <c r="B27" s="2">
        <f t="shared" si="0"/>
        <v>-17.350805120066301</v>
      </c>
      <c r="C27" s="2">
        <f t="shared" si="0"/>
        <v>40.024744038384867</v>
      </c>
      <c r="D27" s="2">
        <f t="shared" si="0"/>
        <v>6.3319456861781145</v>
      </c>
      <c r="E27" s="2">
        <f t="shared" si="0"/>
        <v>4.4974537519259288</v>
      </c>
      <c r="O27" s="2" t="s">
        <v>37</v>
      </c>
      <c r="P27" s="2">
        <f>AVERAGE(E24:E36)</f>
        <v>-6.1383417537642933</v>
      </c>
    </row>
    <row r="28" spans="1:17">
      <c r="A28" s="44">
        <v>2011</v>
      </c>
      <c r="B28" s="2">
        <f t="shared" si="0"/>
        <v>27.642210593977662</v>
      </c>
      <c r="C28" s="2">
        <f t="shared" si="0"/>
        <v>-13.69323551705001</v>
      </c>
      <c r="D28" s="2">
        <f t="shared" si="0"/>
        <v>2.8730759695521897</v>
      </c>
      <c r="E28" s="2">
        <f t="shared" si="0"/>
        <v>-5.8026960379151857</v>
      </c>
    </row>
    <row r="29" spans="1:17">
      <c r="A29" s="44">
        <v>2012</v>
      </c>
      <c r="B29" s="2">
        <f t="shared" si="0"/>
        <v>-4.2267982527317445</v>
      </c>
      <c r="C29" s="2">
        <f t="shared" si="0"/>
        <v>32.10044401398919</v>
      </c>
      <c r="D29" s="2">
        <f t="shared" si="0"/>
        <v>5.4241514339398957</v>
      </c>
      <c r="E29" s="2">
        <f t="shared" si="0"/>
        <v>4.8503732418345162</v>
      </c>
    </row>
    <row r="30" spans="1:17">
      <c r="A30" s="44">
        <v>2013</v>
      </c>
      <c r="B30" s="2">
        <f t="shared" si="0"/>
        <v>-8.6563427017100487</v>
      </c>
      <c r="C30" s="2">
        <f t="shared" si="0"/>
        <v>19.104780347002986</v>
      </c>
      <c r="D30" s="2">
        <f t="shared" si="0"/>
        <v>-5.4226321898205647</v>
      </c>
      <c r="E30" s="2">
        <f t="shared" si="0"/>
        <v>-1.1002821225963273</v>
      </c>
    </row>
    <row r="31" spans="1:17">
      <c r="A31" s="44">
        <v>2014</v>
      </c>
      <c r="B31" s="2">
        <f t="shared" si="0"/>
        <v>11.765771785309735</v>
      </c>
      <c r="C31" s="2">
        <f t="shared" si="0"/>
        <v>23.276970425775598</v>
      </c>
      <c r="D31" s="2">
        <f t="shared" si="0"/>
        <v>-8.1233733897727944</v>
      </c>
      <c r="E31" s="2">
        <f t="shared" si="0"/>
        <v>-8.3986480349313197</v>
      </c>
    </row>
    <row r="32" spans="1:17">
      <c r="A32" s="44">
        <v>2015</v>
      </c>
      <c r="B32" s="2">
        <f t="shared" si="0"/>
        <v>-6.7850991985282718</v>
      </c>
      <c r="C32" s="2">
        <f t="shared" si="0"/>
        <v>-4.8694186110206283</v>
      </c>
      <c r="D32" s="2">
        <f t="shared" si="0"/>
        <v>-11.800422610722961</v>
      </c>
      <c r="E32" s="2">
        <f t="shared" si="0"/>
        <v>-34.606399128026347</v>
      </c>
    </row>
    <row r="33" spans="1:5">
      <c r="A33" s="44">
        <v>2016</v>
      </c>
      <c r="B33" s="2">
        <f t="shared" si="0"/>
        <v>-15.104239722789353</v>
      </c>
      <c r="C33" s="2">
        <f t="shared" si="0"/>
        <v>3.1439817673936119</v>
      </c>
      <c r="D33" s="2">
        <f t="shared" si="0"/>
        <v>21.093315824448123</v>
      </c>
      <c r="E33" s="2">
        <f t="shared" si="0"/>
        <v>5.7652401439144754</v>
      </c>
    </row>
    <row r="34" spans="1:5">
      <c r="A34" s="44">
        <v>2017</v>
      </c>
      <c r="B34" s="2">
        <f t="shared" si="0"/>
        <v>-12.938677432321022</v>
      </c>
      <c r="C34" s="2">
        <f t="shared" si="0"/>
        <v>10.008315676371035</v>
      </c>
      <c r="D34" s="2">
        <f t="shared" si="0"/>
        <v>-2.0685421732853406</v>
      </c>
      <c r="E34" s="2">
        <f t="shared" si="0"/>
        <v>-19.414040918038499</v>
      </c>
    </row>
    <row r="35" spans="1:5">
      <c r="A35" s="44">
        <v>2018</v>
      </c>
      <c r="B35" s="2">
        <f t="shared" si="0"/>
        <v>10.543875186528686</v>
      </c>
      <c r="C35" s="2">
        <f t="shared" si="0"/>
        <v>2.8101023814630501</v>
      </c>
      <c r="D35" s="2">
        <f t="shared" si="0"/>
        <v>-4.4721437700373041</v>
      </c>
      <c r="E35" s="2">
        <f t="shared" si="0"/>
        <v>1.5787130211765543</v>
      </c>
    </row>
    <row r="36" spans="1:5">
      <c r="A36" s="44">
        <v>2019</v>
      </c>
      <c r="B36" s="2">
        <f t="shared" si="0"/>
        <v>6.0506662039838801</v>
      </c>
      <c r="C36" s="2">
        <f t="shared" si="0"/>
        <v>-7.2723202202490729</v>
      </c>
      <c r="D36" s="2">
        <f t="shared" si="0"/>
        <v>11.286998099595404</v>
      </c>
      <c r="E36" s="2">
        <f t="shared" si="0"/>
        <v>-20.251305959899522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E49D-8289-4D15-A8E0-111B6E8B2736}">
  <dimension ref="A3:AF92"/>
  <sheetViews>
    <sheetView zoomScale="45" zoomScaleNormal="70" workbookViewId="0">
      <selection activeCell="Q27" sqref="Q27"/>
    </sheetView>
  </sheetViews>
  <sheetFormatPr defaultRowHeight="15"/>
  <cols>
    <col min="1" max="1" width="13" customWidth="1"/>
    <col min="2" max="2" width="19.7109375" customWidth="1"/>
    <col min="3" max="6" width="13.140625" bestFit="1" customWidth="1"/>
    <col min="9" max="10" width="9.28515625" bestFit="1" customWidth="1"/>
    <col min="11" max="11" width="9.85546875" bestFit="1" customWidth="1"/>
    <col min="12" max="12" width="10.140625" bestFit="1" customWidth="1"/>
    <col min="13" max="13" width="10.85546875" bestFit="1" customWidth="1"/>
    <col min="16" max="16" width="12.140625" customWidth="1"/>
    <col min="17" max="20" width="9.28515625" bestFit="1" customWidth="1"/>
    <col min="23" max="24" width="10.42578125" customWidth="1"/>
    <col min="25" max="25" width="18.42578125" customWidth="1"/>
  </cols>
  <sheetData>
    <row r="3" spans="1:32">
      <c r="B3" s="41"/>
      <c r="C3" s="95" t="s">
        <v>6</v>
      </c>
      <c r="D3" s="41"/>
    </row>
    <row r="4" spans="1:32">
      <c r="B4" s="90" t="s">
        <v>9</v>
      </c>
      <c r="C4" s="90" t="s">
        <v>30</v>
      </c>
      <c r="D4" s="90" t="s">
        <v>8</v>
      </c>
      <c r="E4" s="90" t="s">
        <v>37</v>
      </c>
      <c r="O4" s="92"/>
      <c r="P4" s="94" t="s">
        <v>6</v>
      </c>
      <c r="Q4" s="92"/>
      <c r="R4" s="93" t="s">
        <v>63</v>
      </c>
      <c r="S4" s="92"/>
      <c r="AC4" s="91" t="s">
        <v>64</v>
      </c>
      <c r="AD4" s="91"/>
      <c r="AE4" s="91"/>
    </row>
    <row r="5" spans="1:32">
      <c r="A5" s="41" t="s">
        <v>1</v>
      </c>
      <c r="O5" s="90" t="s">
        <v>9</v>
      </c>
      <c r="P5" s="89" t="s">
        <v>30</v>
      </c>
      <c r="Q5" s="88" t="s">
        <v>8</v>
      </c>
      <c r="R5" s="87" t="s">
        <v>37</v>
      </c>
      <c r="AB5" s="86" t="s">
        <v>10</v>
      </c>
      <c r="AC5" s="85" t="s">
        <v>65</v>
      </c>
      <c r="AD5" s="84" t="s">
        <v>66</v>
      </c>
      <c r="AE5" s="83" t="s">
        <v>67</v>
      </c>
    </row>
    <row r="6" spans="1:32">
      <c r="A6" s="75">
        <v>2006</v>
      </c>
      <c r="B6" s="48">
        <v>0.52019780874252319</v>
      </c>
      <c r="C6" s="48">
        <v>0.77152818441390991</v>
      </c>
      <c r="D6" s="48">
        <v>0.77152818441390991</v>
      </c>
      <c r="E6" s="48">
        <v>0.77152818441390991</v>
      </c>
      <c r="N6" s="41" t="s">
        <v>1</v>
      </c>
      <c r="AC6">
        <f>AVERAGE(O7:O19)</f>
        <v>4.5108038099373209</v>
      </c>
      <c r="AD6">
        <f>AVERAGE(P7:P19)</f>
        <v>1.7374294045691907</v>
      </c>
      <c r="AE6">
        <f>AVERAGE(Q7:Q19)</f>
        <v>1.7374294045691907</v>
      </c>
      <c r="AF6">
        <f>AVERAGE(R7:R19)</f>
        <v>1.7374294045691907</v>
      </c>
    </row>
    <row r="7" spans="1:32">
      <c r="A7" s="75">
        <v>2007</v>
      </c>
      <c r="B7" s="48">
        <v>0.60541075468063354</v>
      </c>
      <c r="C7" s="48">
        <v>0.52204632759094238</v>
      </c>
      <c r="D7" s="48">
        <v>0.52204632759094238</v>
      </c>
      <c r="E7" s="48">
        <v>0.52204632759094238</v>
      </c>
      <c r="N7" s="75">
        <v>2007</v>
      </c>
      <c r="O7">
        <f t="shared" ref="O7:O19" si="0">(B7-B6)/B6*100</f>
        <v>16.380873680359407</v>
      </c>
      <c r="P7">
        <f t="shared" ref="P7:P19" si="1">(C7-C6)/C6*100</f>
        <v>-32.336065209657377</v>
      </c>
      <c r="Q7">
        <f t="shared" ref="Q7:Q19" si="2">(D7-D6)/D6*100</f>
        <v>-32.336065209657377</v>
      </c>
      <c r="R7">
        <f t="shared" ref="R7:R19" si="3">(E7-E6)/E6*100</f>
        <v>-32.336065209657377</v>
      </c>
    </row>
    <row r="8" spans="1:32">
      <c r="A8" s="75">
        <v>2008</v>
      </c>
      <c r="B8" s="48">
        <v>0.46215656399726868</v>
      </c>
      <c r="C8" s="48">
        <v>0.60104328393936157</v>
      </c>
      <c r="D8" s="48">
        <v>0.60104328393936157</v>
      </c>
      <c r="E8" s="48">
        <v>0.60104328393936157</v>
      </c>
      <c r="N8" s="75">
        <v>2008</v>
      </c>
      <c r="O8">
        <f t="shared" si="0"/>
        <v>-23.662313491430186</v>
      </c>
      <c r="P8">
        <f t="shared" si="1"/>
        <v>15.1321735588031</v>
      </c>
      <c r="Q8">
        <f t="shared" si="2"/>
        <v>15.1321735588031</v>
      </c>
      <c r="R8">
        <f t="shared" si="3"/>
        <v>15.1321735588031</v>
      </c>
    </row>
    <row r="9" spans="1:32">
      <c r="A9" s="75">
        <v>2009</v>
      </c>
      <c r="B9" s="48">
        <v>0.44141274690628052</v>
      </c>
      <c r="C9" s="48">
        <v>0.49813839793205261</v>
      </c>
      <c r="D9" s="48">
        <v>0.49813839793205261</v>
      </c>
      <c r="E9" s="48">
        <v>0.49813839793205261</v>
      </c>
      <c r="N9" s="75">
        <v>2009</v>
      </c>
      <c r="O9">
        <f t="shared" si="0"/>
        <v>-4.488482628391437</v>
      </c>
      <c r="P9">
        <f t="shared" si="1"/>
        <v>-17.121044150572505</v>
      </c>
      <c r="Q9">
        <f t="shared" si="2"/>
        <v>-17.121044150572505</v>
      </c>
      <c r="R9">
        <f t="shared" si="3"/>
        <v>-17.121044150572505</v>
      </c>
    </row>
    <row r="10" spans="1:32">
      <c r="A10" s="75">
        <v>2010</v>
      </c>
      <c r="B10" s="48">
        <v>0.45925670862197876</v>
      </c>
      <c r="C10" s="48">
        <v>0.50107109546661377</v>
      </c>
      <c r="D10" s="48">
        <v>0.50107109546661377</v>
      </c>
      <c r="E10" s="48">
        <v>0.50107109546661377</v>
      </c>
      <c r="F10" s="2"/>
      <c r="N10" s="75">
        <v>2010</v>
      </c>
      <c r="O10">
        <f t="shared" si="0"/>
        <v>4.0424663403494376</v>
      </c>
      <c r="P10">
        <f t="shared" si="1"/>
        <v>0.5887314743725468</v>
      </c>
      <c r="Q10">
        <f t="shared" si="2"/>
        <v>0.5887314743725468</v>
      </c>
      <c r="R10">
        <f t="shared" si="3"/>
        <v>0.5887314743725468</v>
      </c>
    </row>
    <row r="11" spans="1:32">
      <c r="A11" s="75">
        <v>2011</v>
      </c>
      <c r="B11" s="48">
        <v>0.46452471613883972</v>
      </c>
      <c r="C11" s="48">
        <v>0.53748428821563721</v>
      </c>
      <c r="D11" s="48">
        <v>0.53748428821563721</v>
      </c>
      <c r="E11" s="48">
        <v>0.53748428821563721</v>
      </c>
      <c r="F11" s="2"/>
      <c r="N11" s="75">
        <v>2011</v>
      </c>
      <c r="O11">
        <f t="shared" si="0"/>
        <v>1.1470725234842765</v>
      </c>
      <c r="P11">
        <f t="shared" si="1"/>
        <v>7.2670710959917342</v>
      </c>
      <c r="Q11">
        <f t="shared" si="2"/>
        <v>7.2670710959917342</v>
      </c>
      <c r="R11">
        <f t="shared" si="3"/>
        <v>7.2670710959917342</v>
      </c>
    </row>
    <row r="12" spans="1:32">
      <c r="A12" s="75">
        <v>2012</v>
      </c>
      <c r="B12" s="48">
        <v>0.50186377763748169</v>
      </c>
      <c r="C12" s="48">
        <v>0.59885907173156738</v>
      </c>
      <c r="D12" s="48">
        <v>0.59885907173156738</v>
      </c>
      <c r="E12" s="48">
        <v>0.59885907173156738</v>
      </c>
      <c r="F12" s="2"/>
      <c r="N12" s="75">
        <v>2012</v>
      </c>
      <c r="O12">
        <f t="shared" si="0"/>
        <v>8.0381215899568765</v>
      </c>
      <c r="P12">
        <f t="shared" si="1"/>
        <v>11.418898163457902</v>
      </c>
      <c r="Q12">
        <f t="shared" si="2"/>
        <v>11.418898163457902</v>
      </c>
      <c r="R12">
        <f t="shared" si="3"/>
        <v>11.418898163457902</v>
      </c>
    </row>
    <row r="13" spans="1:32">
      <c r="A13" s="75">
        <v>2013</v>
      </c>
      <c r="B13" s="48">
        <v>0.5040818452835083</v>
      </c>
      <c r="C13" s="48">
        <v>0.67195695638656616</v>
      </c>
      <c r="D13" s="48">
        <v>0.67195695638656616</v>
      </c>
      <c r="E13" s="48">
        <v>0.67195695638656616</v>
      </c>
      <c r="F13" s="2"/>
      <c r="N13" s="75">
        <v>2013</v>
      </c>
      <c r="O13">
        <f t="shared" si="0"/>
        <v>0.44196607622652923</v>
      </c>
      <c r="P13">
        <f t="shared" si="1"/>
        <v>12.206191423908859</v>
      </c>
      <c r="Q13">
        <f t="shared" si="2"/>
        <v>12.206191423908859</v>
      </c>
      <c r="R13">
        <f t="shared" si="3"/>
        <v>12.206191423908859</v>
      </c>
    </row>
    <row r="14" spans="1:32">
      <c r="A14" s="75">
        <v>2014</v>
      </c>
      <c r="B14" s="48">
        <v>0.50648713111877441</v>
      </c>
      <c r="C14" s="48">
        <v>0.73277294635772705</v>
      </c>
      <c r="D14" s="48">
        <v>0.73277294635772705</v>
      </c>
      <c r="E14" s="48">
        <v>0.73277294635772705</v>
      </c>
      <c r="F14" s="2"/>
      <c r="N14" s="75">
        <v>2014</v>
      </c>
      <c r="O14">
        <f t="shared" si="0"/>
        <v>0.47716176604482158</v>
      </c>
      <c r="P14">
        <f t="shared" si="1"/>
        <v>9.0505782242656654</v>
      </c>
      <c r="Q14">
        <f t="shared" si="2"/>
        <v>9.0505782242656654</v>
      </c>
      <c r="R14">
        <f t="shared" si="3"/>
        <v>9.0505782242656654</v>
      </c>
    </row>
    <row r="15" spans="1:32">
      <c r="A15" s="75">
        <v>2015</v>
      </c>
      <c r="B15" s="48">
        <v>0.55102664232254028</v>
      </c>
      <c r="C15" s="48">
        <v>0.7642894983291626</v>
      </c>
      <c r="D15" s="48">
        <v>0.7642894983291626</v>
      </c>
      <c r="E15" s="48">
        <v>0.7642894983291626</v>
      </c>
      <c r="N15" s="75">
        <v>2015</v>
      </c>
      <c r="O15">
        <f t="shared" si="0"/>
        <v>8.793809055993778</v>
      </c>
      <c r="P15">
        <f t="shared" si="1"/>
        <v>4.3009983007819326</v>
      </c>
      <c r="Q15">
        <f t="shared" si="2"/>
        <v>4.3009983007819326</v>
      </c>
      <c r="R15">
        <f t="shared" si="3"/>
        <v>4.3009983007819326</v>
      </c>
    </row>
    <row r="16" spans="1:32">
      <c r="A16" s="75">
        <v>2016</v>
      </c>
      <c r="B16" s="48">
        <v>0.61098694801330566</v>
      </c>
      <c r="C16" s="48">
        <v>0.71257317066192627</v>
      </c>
      <c r="D16" s="48">
        <v>0.71257317066192627</v>
      </c>
      <c r="E16" s="48">
        <v>0.71257317066192627</v>
      </c>
      <c r="N16" s="75">
        <v>2016</v>
      </c>
      <c r="O16">
        <f t="shared" si="0"/>
        <v>10.881561994541086</v>
      </c>
      <c r="P16">
        <f t="shared" si="1"/>
        <v>-6.7665888096454321</v>
      </c>
      <c r="Q16">
        <f t="shared" si="2"/>
        <v>-6.7665888096454321</v>
      </c>
      <c r="R16">
        <f t="shared" si="3"/>
        <v>-6.7665888096454321</v>
      </c>
    </row>
    <row r="17" spans="1:28">
      <c r="A17" s="75">
        <v>2017</v>
      </c>
      <c r="B17" s="48">
        <v>0.61369705200195313</v>
      </c>
      <c r="C17" s="48">
        <v>0.73103046417236328</v>
      </c>
      <c r="D17" s="48">
        <v>0.73103046417236328</v>
      </c>
      <c r="E17" s="48">
        <v>0.73103046417236328</v>
      </c>
      <c r="N17" s="75">
        <v>2017</v>
      </c>
      <c r="O17">
        <f t="shared" si="0"/>
        <v>0.44356168285749403</v>
      </c>
      <c r="P17">
        <f t="shared" si="1"/>
        <v>2.5902313292670827</v>
      </c>
      <c r="Q17">
        <f t="shared" si="2"/>
        <v>2.5902313292670827</v>
      </c>
      <c r="R17">
        <f t="shared" si="3"/>
        <v>2.5902313292670827</v>
      </c>
    </row>
    <row r="18" spans="1:28">
      <c r="A18" s="75">
        <v>2018</v>
      </c>
      <c r="B18" s="48">
        <v>0.80764365196228027</v>
      </c>
      <c r="C18" s="48">
        <v>0.77244925498962402</v>
      </c>
      <c r="D18" s="48">
        <v>0.77244925498962402</v>
      </c>
      <c r="E18" s="48">
        <v>0.77244925498962402</v>
      </c>
      <c r="F18" s="82"/>
      <c r="N18" s="75">
        <v>2018</v>
      </c>
      <c r="O18">
        <f t="shared" si="0"/>
        <v>31.602987064651877</v>
      </c>
      <c r="P18">
        <f t="shared" si="1"/>
        <v>5.6658091348016608</v>
      </c>
      <c r="Q18">
        <f t="shared" si="2"/>
        <v>5.6658091348016608</v>
      </c>
      <c r="R18">
        <f t="shared" si="3"/>
        <v>5.6658091348016608</v>
      </c>
    </row>
    <row r="19" spans="1:28">
      <c r="A19" s="75">
        <v>2019</v>
      </c>
      <c r="B19" s="48">
        <v>0.84432411193847656</v>
      </c>
      <c r="C19" s="48">
        <v>0.8542485237121582</v>
      </c>
      <c r="D19" s="48">
        <v>0.8542485237121582</v>
      </c>
      <c r="E19" s="48">
        <v>0.8542485237121582</v>
      </c>
      <c r="F19" s="50"/>
      <c r="G19" s="74"/>
      <c r="I19" s="50"/>
      <c r="J19" s="2"/>
      <c r="K19" s="2"/>
      <c r="L19" s="2"/>
      <c r="N19" s="75">
        <v>2019</v>
      </c>
      <c r="O19">
        <f t="shared" si="0"/>
        <v>4.5416638745412179</v>
      </c>
      <c r="P19">
        <f t="shared" si="1"/>
        <v>10.589597723624312</v>
      </c>
      <c r="Q19">
        <f t="shared" si="2"/>
        <v>10.589597723624312</v>
      </c>
      <c r="R19">
        <f t="shared" si="3"/>
        <v>10.589597723624312</v>
      </c>
      <c r="AB19" s="2"/>
    </row>
    <row r="20" spans="1:28">
      <c r="B20" s="50"/>
      <c r="C20" s="74"/>
      <c r="D20" s="74"/>
      <c r="F20" s="2"/>
      <c r="G20" s="2"/>
      <c r="H20" s="2"/>
      <c r="I20" s="2"/>
      <c r="J20" s="2"/>
      <c r="K20" s="2"/>
    </row>
    <row r="21" spans="1:28">
      <c r="E21" s="50"/>
      <c r="G21" s="2"/>
      <c r="H21" s="2"/>
      <c r="I21" s="2"/>
      <c r="J21" s="2"/>
    </row>
    <row r="25" spans="1:28" ht="15.75" thickBot="1">
      <c r="A25" s="81" t="s">
        <v>10</v>
      </c>
    </row>
    <row r="26" spans="1:28">
      <c r="A26" s="41" t="s">
        <v>1</v>
      </c>
      <c r="B26" s="77" t="s">
        <v>68</v>
      </c>
      <c r="C26" s="76" t="s">
        <v>14</v>
      </c>
      <c r="E26" s="13"/>
      <c r="F26" s="13" t="s">
        <v>69</v>
      </c>
      <c r="G26" s="13" t="s">
        <v>14</v>
      </c>
    </row>
    <row r="27" spans="1:28">
      <c r="A27" s="75">
        <v>2006</v>
      </c>
      <c r="B27" s="48">
        <v>0.52019780874252319</v>
      </c>
      <c r="C27" s="74">
        <v>4.2893109321594238</v>
      </c>
      <c r="E27" t="s">
        <v>69</v>
      </c>
      <c r="F27">
        <v>1</v>
      </c>
    </row>
    <row r="28" spans="1:28" ht="15.75" thickBot="1">
      <c r="A28" s="75">
        <v>2007</v>
      </c>
      <c r="B28" s="48">
        <v>0.60541075468063354</v>
      </c>
      <c r="C28" s="74">
        <v>4.8815155029296875</v>
      </c>
      <c r="E28" s="12" t="s">
        <v>14</v>
      </c>
      <c r="F28" s="12">
        <v>0.83007445242956135</v>
      </c>
      <c r="G28" s="12">
        <v>1</v>
      </c>
    </row>
    <row r="29" spans="1:28">
      <c r="A29" s="75">
        <v>2008</v>
      </c>
      <c r="B29" s="48">
        <v>0.46215656399726868</v>
      </c>
      <c r="C29" s="74">
        <v>4.6519722938537598</v>
      </c>
    </row>
    <row r="30" spans="1:28">
      <c r="A30" s="75">
        <v>2009</v>
      </c>
      <c r="B30" s="48">
        <v>0.44141274690628052</v>
      </c>
      <c r="C30" s="74">
        <v>4.177581787109375</v>
      </c>
    </row>
    <row r="31" spans="1:28">
      <c r="A31" s="75">
        <v>2010</v>
      </c>
      <c r="B31" s="48">
        <v>0.45925670862197876</v>
      </c>
      <c r="C31" s="74">
        <v>4.3678112030029297</v>
      </c>
    </row>
    <row r="32" spans="1:28">
      <c r="A32" s="75">
        <v>2011</v>
      </c>
      <c r="B32" s="48">
        <v>0.46452471613883972</v>
      </c>
      <c r="C32" s="74">
        <v>4.2604913711547852</v>
      </c>
    </row>
    <row r="33" spans="1:15">
      <c r="A33" s="75">
        <v>2012</v>
      </c>
      <c r="B33" s="48">
        <v>0.50186377763748169</v>
      </c>
      <c r="C33" s="74">
        <v>4.3197116851806641</v>
      </c>
      <c r="F33" s="2"/>
    </row>
    <row r="34" spans="1:15">
      <c r="A34" s="75">
        <v>2013</v>
      </c>
      <c r="B34" s="48">
        <v>0.5040818452835083</v>
      </c>
      <c r="C34" s="74">
        <v>4.277191162109375</v>
      </c>
      <c r="F34" s="2"/>
      <c r="G34" s="2"/>
      <c r="H34" s="2"/>
    </row>
    <row r="35" spans="1:15">
      <c r="A35" s="75">
        <v>2014</v>
      </c>
      <c r="B35" s="48">
        <v>0.50648713111877441</v>
      </c>
      <c r="C35" s="74">
        <v>4.4530830383300781</v>
      </c>
      <c r="F35" s="2"/>
      <c r="G35" s="2"/>
      <c r="H35" s="2"/>
    </row>
    <row r="36" spans="1:15">
      <c r="A36" s="75">
        <v>2015</v>
      </c>
      <c r="B36" s="48">
        <v>0.55102664232254028</v>
      </c>
      <c r="C36" s="74">
        <v>4.3483195304870605</v>
      </c>
      <c r="F36" s="2"/>
      <c r="G36" s="2"/>
      <c r="H36" s="2"/>
    </row>
    <row r="37" spans="1:15">
      <c r="A37" s="75">
        <v>2016</v>
      </c>
      <c r="B37" s="48">
        <v>0.61098694801330566</v>
      </c>
      <c r="C37" s="74">
        <v>4.3254718780517578</v>
      </c>
      <c r="G37" s="2"/>
      <c r="H37" s="2"/>
    </row>
    <row r="38" spans="1:15">
      <c r="A38" s="75">
        <v>2017</v>
      </c>
      <c r="B38" s="48">
        <v>0.61369705200195313</v>
      </c>
      <c r="C38" s="74">
        <v>4.2877364158630371</v>
      </c>
      <c r="J38" s="2"/>
      <c r="K38" s="2"/>
      <c r="L38" s="2"/>
    </row>
    <row r="39" spans="1:15">
      <c r="A39" s="75">
        <v>2018</v>
      </c>
      <c r="B39" s="48">
        <v>0.80764365196228027</v>
      </c>
      <c r="C39" s="74">
        <v>5.0624485015869141</v>
      </c>
    </row>
    <row r="40" spans="1:15">
      <c r="A40" s="75">
        <v>2019</v>
      </c>
      <c r="B40" s="48">
        <v>0.84432411193847656</v>
      </c>
      <c r="C40" s="74">
        <v>5.4880867004394531</v>
      </c>
    </row>
    <row r="41" spans="1:15">
      <c r="F41" s="2"/>
    </row>
    <row r="42" spans="1:15" ht="15.75" thickBot="1">
      <c r="A42" s="80" t="s">
        <v>70</v>
      </c>
      <c r="E42" s="2"/>
      <c r="G42" s="2"/>
      <c r="I42" s="50"/>
    </row>
    <row r="43" spans="1:15">
      <c r="A43" s="41" t="s">
        <v>1</v>
      </c>
      <c r="B43" s="77" t="s">
        <v>68</v>
      </c>
      <c r="C43" s="76" t="s">
        <v>14</v>
      </c>
      <c r="E43" s="13"/>
      <c r="F43" s="13" t="s">
        <v>69</v>
      </c>
      <c r="G43" s="13" t="s">
        <v>14</v>
      </c>
    </row>
    <row r="44" spans="1:15">
      <c r="A44" s="75">
        <v>2006</v>
      </c>
      <c r="B44" s="74">
        <v>3.6751084327697754</v>
      </c>
      <c r="C44" s="48">
        <v>0.77152818441390991</v>
      </c>
      <c r="E44" t="s">
        <v>69</v>
      </c>
      <c r="F44">
        <v>1</v>
      </c>
      <c r="I44" s="50"/>
    </row>
    <row r="45" spans="1:15" ht="15.75" thickBot="1">
      <c r="A45" s="75">
        <v>2007</v>
      </c>
      <c r="B45" s="74">
        <v>3.7071945667266846</v>
      </c>
      <c r="C45" s="48">
        <v>0.52204632759094238</v>
      </c>
      <c r="E45" s="12" t="s">
        <v>71</v>
      </c>
      <c r="F45" s="12">
        <v>0.58044973946386424</v>
      </c>
      <c r="G45" s="12">
        <v>1</v>
      </c>
      <c r="I45" s="50"/>
    </row>
    <row r="46" spans="1:15">
      <c r="A46" s="75">
        <v>2008</v>
      </c>
      <c r="B46" s="74">
        <v>4.156090259552002</v>
      </c>
      <c r="C46" s="48">
        <v>0.60104328393936157</v>
      </c>
    </row>
    <row r="47" spans="1:15">
      <c r="A47" s="75">
        <v>2009</v>
      </c>
      <c r="B47" s="74">
        <v>3.8006391525268555</v>
      </c>
      <c r="C47" s="48">
        <v>0.49813839793205261</v>
      </c>
      <c r="F47" s="2"/>
    </row>
    <row r="48" spans="1:15">
      <c r="A48" s="75">
        <v>2010</v>
      </c>
      <c r="B48" s="74">
        <v>4.101837158203125</v>
      </c>
      <c r="C48" s="48">
        <v>0.50107109546661377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75">
        <v>2011</v>
      </c>
      <c r="B49" s="74">
        <v>4.2030305862426758</v>
      </c>
      <c r="C49" s="48">
        <v>0.53748428821563721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75">
        <v>2012</v>
      </c>
      <c r="B50" s="74">
        <v>4.2544455528259277</v>
      </c>
      <c r="C50" s="48">
        <v>0.59885907173156738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75">
        <v>2013</v>
      </c>
      <c r="B51" s="74">
        <v>4.3489208221435547</v>
      </c>
      <c r="C51" s="48">
        <v>0.67195695638656616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75">
        <v>2014</v>
      </c>
      <c r="B52" s="74">
        <v>4.2875080108642578</v>
      </c>
      <c r="C52" s="48">
        <v>0.73277294635772705</v>
      </c>
      <c r="D52" s="2"/>
      <c r="E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75">
        <v>2015</v>
      </c>
      <c r="B53" s="74">
        <v>4.1219406127929688</v>
      </c>
      <c r="C53" s="48">
        <v>0.7642894983291626</v>
      </c>
    </row>
    <row r="54" spans="1:15">
      <c r="A54" s="75">
        <v>2016</v>
      </c>
      <c r="B54" s="74">
        <v>4.4483861923217773</v>
      </c>
      <c r="C54" s="48">
        <v>0.71257317066192627</v>
      </c>
    </row>
    <row r="55" spans="1:15">
      <c r="A55" s="75">
        <v>2017</v>
      </c>
      <c r="B55" s="74">
        <v>4.4507746696472168</v>
      </c>
      <c r="C55" s="48">
        <v>0.73103046417236328</v>
      </c>
    </row>
    <row r="56" spans="1:15">
      <c r="A56" s="75">
        <v>2018</v>
      </c>
      <c r="B56" s="74">
        <v>4.6590971946716309</v>
      </c>
      <c r="C56" s="48">
        <v>0.77244925498962402</v>
      </c>
    </row>
    <row r="57" spans="1:15">
      <c r="A57" s="75">
        <v>2019</v>
      </c>
      <c r="B57" s="74">
        <v>4.8918356895446777</v>
      </c>
      <c r="C57" s="48">
        <v>0.8542485237121582</v>
      </c>
    </row>
    <row r="59" spans="1:15" ht="15.75" thickBot="1">
      <c r="A59" s="79" t="s">
        <v>66</v>
      </c>
    </row>
    <row r="60" spans="1:15">
      <c r="A60" s="41" t="s">
        <v>1</v>
      </c>
      <c r="B60" s="77" t="s">
        <v>68</v>
      </c>
      <c r="C60" s="76" t="s">
        <v>14</v>
      </c>
      <c r="E60" s="13"/>
      <c r="F60" s="13" t="s">
        <v>69</v>
      </c>
      <c r="G60" s="13" t="s">
        <v>71</v>
      </c>
    </row>
    <row r="61" spans="1:15">
      <c r="A61" s="75">
        <v>2006</v>
      </c>
      <c r="B61" s="74">
        <v>3.6751084327697754</v>
      </c>
      <c r="C61" s="48">
        <v>0.77152818441390991</v>
      </c>
      <c r="E61" t="s">
        <v>69</v>
      </c>
      <c r="F61">
        <v>1</v>
      </c>
    </row>
    <row r="62" spans="1:15" ht="15.75" thickBot="1">
      <c r="A62" s="75">
        <v>2007</v>
      </c>
      <c r="B62" s="74">
        <v>3.7071945667266846</v>
      </c>
      <c r="C62" s="48">
        <v>0.52204632759094238</v>
      </c>
      <c r="E62" s="12" t="s">
        <v>71</v>
      </c>
      <c r="F62" s="12">
        <v>0.58044973946386424</v>
      </c>
      <c r="G62" s="12">
        <v>1</v>
      </c>
    </row>
    <row r="63" spans="1:15">
      <c r="A63" s="75">
        <v>2008</v>
      </c>
      <c r="B63" s="74">
        <v>4.156090259552002</v>
      </c>
      <c r="C63" s="48">
        <v>0.60104328393936157</v>
      </c>
    </row>
    <row r="64" spans="1:15">
      <c r="A64" s="75">
        <v>2009</v>
      </c>
      <c r="B64" s="74">
        <v>3.8006391525268555</v>
      </c>
      <c r="C64" s="48">
        <v>0.49813839793205261</v>
      </c>
    </row>
    <row r="65" spans="1:7">
      <c r="A65" s="75">
        <v>2010</v>
      </c>
      <c r="B65" s="74">
        <v>4.101837158203125</v>
      </c>
      <c r="C65" s="48">
        <v>0.50107109546661377</v>
      </c>
    </row>
    <row r="66" spans="1:7">
      <c r="A66" s="75">
        <v>2011</v>
      </c>
      <c r="B66" s="74">
        <v>4.2030305862426758</v>
      </c>
      <c r="C66" s="48">
        <v>0.53748428821563721</v>
      </c>
    </row>
    <row r="67" spans="1:7">
      <c r="A67" s="75">
        <v>2012</v>
      </c>
      <c r="B67" s="74">
        <v>4.2544455528259277</v>
      </c>
      <c r="C67" s="48">
        <v>0.59885907173156738</v>
      </c>
    </row>
    <row r="68" spans="1:7">
      <c r="A68" s="75">
        <v>2013</v>
      </c>
      <c r="B68" s="74">
        <v>4.3489208221435547</v>
      </c>
      <c r="C68" s="48">
        <v>0.67195695638656616</v>
      </c>
    </row>
    <row r="69" spans="1:7">
      <c r="A69" s="75">
        <v>2014</v>
      </c>
      <c r="B69" s="74">
        <v>4.2875080108642578</v>
      </c>
      <c r="C69" s="48">
        <v>0.73277294635772705</v>
      </c>
    </row>
    <row r="70" spans="1:7">
      <c r="A70" s="75">
        <v>2015</v>
      </c>
      <c r="B70" s="74">
        <v>4.1219406127929688</v>
      </c>
      <c r="C70" s="48">
        <v>0.7642894983291626</v>
      </c>
    </row>
    <row r="71" spans="1:7">
      <c r="A71" s="75">
        <v>2016</v>
      </c>
      <c r="B71" s="74">
        <v>4.4483861923217773</v>
      </c>
      <c r="C71" s="48">
        <v>0.71257317066192627</v>
      </c>
    </row>
    <row r="72" spans="1:7">
      <c r="A72" s="75">
        <v>2017</v>
      </c>
      <c r="B72" s="74">
        <v>4.4507746696472168</v>
      </c>
      <c r="C72" s="48">
        <v>0.73103046417236328</v>
      </c>
    </row>
    <row r="73" spans="1:7">
      <c r="A73" s="75">
        <v>2018</v>
      </c>
      <c r="B73" s="74">
        <v>4.6590971946716309</v>
      </c>
      <c r="C73" s="48">
        <v>0.77244925498962402</v>
      </c>
    </row>
    <row r="74" spans="1:7">
      <c r="A74" s="75">
        <v>2019</v>
      </c>
      <c r="B74" s="74">
        <v>4.8918356895446777</v>
      </c>
      <c r="C74" s="48">
        <v>0.8542485237121582</v>
      </c>
    </row>
    <row r="77" spans="1:7" ht="15.75" thickBot="1">
      <c r="A77" s="78" t="s">
        <v>67</v>
      </c>
    </row>
    <row r="78" spans="1:7">
      <c r="A78" s="41" t="s">
        <v>1</v>
      </c>
      <c r="B78" s="77" t="s">
        <v>68</v>
      </c>
      <c r="C78" s="76" t="s">
        <v>14</v>
      </c>
      <c r="E78" s="13"/>
      <c r="F78" s="13" t="s">
        <v>69</v>
      </c>
      <c r="G78" s="13" t="s">
        <v>71</v>
      </c>
    </row>
    <row r="79" spans="1:7">
      <c r="A79" s="75">
        <v>2006</v>
      </c>
      <c r="B79" s="74">
        <v>3.6751084327697754</v>
      </c>
      <c r="C79" s="48">
        <v>0.77152818441390991</v>
      </c>
      <c r="E79" t="s">
        <v>69</v>
      </c>
      <c r="F79">
        <v>1</v>
      </c>
    </row>
    <row r="80" spans="1:7" ht="15.75" thickBot="1">
      <c r="A80" s="75">
        <v>2007</v>
      </c>
      <c r="B80" s="74">
        <v>3.7071945667266846</v>
      </c>
      <c r="C80" s="48">
        <v>0.52204632759094238</v>
      </c>
      <c r="E80" s="12" t="s">
        <v>71</v>
      </c>
      <c r="F80" s="12">
        <v>0.58044973946386424</v>
      </c>
      <c r="G80" s="12">
        <v>1</v>
      </c>
    </row>
    <row r="81" spans="1:3">
      <c r="A81" s="75">
        <v>2008</v>
      </c>
      <c r="B81" s="74">
        <v>4.156090259552002</v>
      </c>
      <c r="C81" s="48">
        <v>0.60104328393936157</v>
      </c>
    </row>
    <row r="82" spans="1:3">
      <c r="A82" s="75">
        <v>2009</v>
      </c>
      <c r="B82" s="74">
        <v>3.8006391525268555</v>
      </c>
      <c r="C82" s="48">
        <v>0.49813839793205261</v>
      </c>
    </row>
    <row r="83" spans="1:3">
      <c r="A83" s="75">
        <v>2010</v>
      </c>
      <c r="B83" s="74">
        <v>4.101837158203125</v>
      </c>
      <c r="C83" s="48">
        <v>0.50107109546661377</v>
      </c>
    </row>
    <row r="84" spans="1:3">
      <c r="A84" s="75">
        <v>2011</v>
      </c>
      <c r="B84" s="74">
        <v>4.2030305862426758</v>
      </c>
      <c r="C84" s="48">
        <v>0.53748428821563721</v>
      </c>
    </row>
    <row r="85" spans="1:3">
      <c r="A85" s="75">
        <v>2012</v>
      </c>
      <c r="B85" s="74">
        <v>4.2544455528259277</v>
      </c>
      <c r="C85" s="48">
        <v>0.59885907173156738</v>
      </c>
    </row>
    <row r="86" spans="1:3">
      <c r="A86" s="75">
        <v>2013</v>
      </c>
      <c r="B86" s="74">
        <v>4.3489208221435547</v>
      </c>
      <c r="C86" s="48">
        <v>0.67195695638656616</v>
      </c>
    </row>
    <row r="87" spans="1:3">
      <c r="A87" s="75">
        <v>2014</v>
      </c>
      <c r="B87" s="74">
        <v>4.2875080108642578</v>
      </c>
      <c r="C87" s="48">
        <v>0.73277294635772705</v>
      </c>
    </row>
    <row r="88" spans="1:3">
      <c r="A88" s="75">
        <v>2015</v>
      </c>
      <c r="B88" s="74">
        <v>4.1219406127929688</v>
      </c>
      <c r="C88" s="48">
        <v>0.7642894983291626</v>
      </c>
    </row>
    <row r="89" spans="1:3">
      <c r="A89" s="75">
        <v>2016</v>
      </c>
      <c r="B89" s="74">
        <v>4.4483861923217773</v>
      </c>
      <c r="C89" s="48">
        <v>0.71257317066192627</v>
      </c>
    </row>
    <row r="90" spans="1:3">
      <c r="A90" s="75">
        <v>2017</v>
      </c>
      <c r="B90" s="74">
        <v>4.4507746696472168</v>
      </c>
      <c r="C90" s="48">
        <v>0.73103046417236328</v>
      </c>
    </row>
    <row r="91" spans="1:3">
      <c r="A91" s="75">
        <v>2018</v>
      </c>
      <c r="B91" s="74">
        <v>4.6590971946716309</v>
      </c>
      <c r="C91" s="48">
        <v>0.77244925498962402</v>
      </c>
    </row>
    <row r="92" spans="1:3">
      <c r="A92" s="75">
        <v>2019</v>
      </c>
      <c r="B92" s="74">
        <v>4.8918356895446777</v>
      </c>
      <c r="C92" s="48">
        <v>0.8542485237121582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C905-7289-4444-8BF4-84AE334849FC}">
  <dimension ref="A1:I57"/>
  <sheetViews>
    <sheetView zoomScale="54" workbookViewId="0">
      <selection activeCell="I38" sqref="I38"/>
    </sheetView>
  </sheetViews>
  <sheetFormatPr defaultRowHeight="15"/>
  <cols>
    <col min="1" max="1" width="13.42578125" customWidth="1"/>
    <col min="2" max="2" width="10.5703125" customWidth="1"/>
    <col min="3" max="3" width="10" customWidth="1"/>
    <col min="4" max="4" width="26.28515625" customWidth="1"/>
    <col min="7" max="7" width="24.42578125" customWidth="1"/>
    <col min="9" max="9" width="9.140625" customWidth="1"/>
  </cols>
  <sheetData>
    <row r="1" spans="1:4">
      <c r="A1" t="s">
        <v>0</v>
      </c>
      <c r="B1" t="s">
        <v>1</v>
      </c>
      <c r="C1" t="s">
        <v>2</v>
      </c>
      <c r="D1" t="s">
        <v>6</v>
      </c>
    </row>
    <row r="2" spans="1:4">
      <c r="A2" t="s">
        <v>9</v>
      </c>
      <c r="B2">
        <v>2006</v>
      </c>
      <c r="C2">
        <v>4.2893109321594238</v>
      </c>
      <c r="D2">
        <v>0.52019780874252319</v>
      </c>
    </row>
    <row r="3" spans="1:4">
      <c r="A3" t="s">
        <v>9</v>
      </c>
      <c r="B3">
        <v>2007</v>
      </c>
      <c r="C3">
        <v>4.8815155029296875</v>
      </c>
      <c r="D3">
        <v>0.60541075468063354</v>
      </c>
    </row>
    <row r="4" spans="1:4">
      <c r="A4" t="s">
        <v>9</v>
      </c>
      <c r="B4">
        <v>2008</v>
      </c>
      <c r="C4">
        <v>4.6519722938537598</v>
      </c>
      <c r="D4">
        <v>0.46215656399726868</v>
      </c>
    </row>
    <row r="5" spans="1:4">
      <c r="A5" t="s">
        <v>9</v>
      </c>
      <c r="B5">
        <v>2009</v>
      </c>
      <c r="C5">
        <v>4.177581787109375</v>
      </c>
      <c r="D5">
        <v>0.44141274690628052</v>
      </c>
    </row>
    <row r="6" spans="1:4">
      <c r="A6" t="s">
        <v>9</v>
      </c>
      <c r="B6">
        <v>2010</v>
      </c>
      <c r="C6">
        <v>4.3678112030029297</v>
      </c>
      <c r="D6">
        <v>0.45925670862197876</v>
      </c>
    </row>
    <row r="7" spans="1:4">
      <c r="A7" t="s">
        <v>9</v>
      </c>
      <c r="B7">
        <v>2011</v>
      </c>
      <c r="C7">
        <v>4.2604913711547852</v>
      </c>
      <c r="D7">
        <v>0.46452471613883972</v>
      </c>
    </row>
    <row r="8" spans="1:4">
      <c r="A8" t="s">
        <v>9</v>
      </c>
      <c r="B8">
        <v>2012</v>
      </c>
      <c r="C8">
        <v>4.3197116851806641</v>
      </c>
      <c r="D8">
        <v>0.50186377763748169</v>
      </c>
    </row>
    <row r="9" spans="1:4">
      <c r="A9" t="s">
        <v>9</v>
      </c>
      <c r="B9">
        <v>2013</v>
      </c>
      <c r="C9">
        <v>4.277191162109375</v>
      </c>
      <c r="D9">
        <v>0.5040818452835083</v>
      </c>
    </row>
    <row r="10" spans="1:4">
      <c r="A10" t="s">
        <v>9</v>
      </c>
      <c r="B10">
        <v>2014</v>
      </c>
      <c r="C10">
        <v>4.4530830383300781</v>
      </c>
      <c r="D10">
        <v>0.50648713111877441</v>
      </c>
    </row>
    <row r="11" spans="1:4">
      <c r="A11" t="s">
        <v>9</v>
      </c>
      <c r="B11">
        <v>2015</v>
      </c>
      <c r="C11">
        <v>4.3483195304870605</v>
      </c>
      <c r="D11">
        <v>0.55102664232254028</v>
      </c>
    </row>
    <row r="12" spans="1:4">
      <c r="A12" t="s">
        <v>9</v>
      </c>
      <c r="B12">
        <v>2016</v>
      </c>
      <c r="C12">
        <v>4.3254718780517578</v>
      </c>
      <c r="D12">
        <v>0.61098694801330566</v>
      </c>
    </row>
    <row r="13" spans="1:4">
      <c r="A13" t="s">
        <v>9</v>
      </c>
      <c r="B13">
        <v>2017</v>
      </c>
      <c r="C13">
        <v>4.2877364158630371</v>
      </c>
      <c r="D13">
        <v>0.61369705200195313</v>
      </c>
    </row>
    <row r="14" spans="1:4">
      <c r="A14" t="s">
        <v>9</v>
      </c>
      <c r="B14">
        <v>2018</v>
      </c>
      <c r="C14">
        <v>5.0624485015869141</v>
      </c>
      <c r="D14">
        <v>0.80764365196228027</v>
      </c>
    </row>
    <row r="15" spans="1:4">
      <c r="A15" t="s">
        <v>9</v>
      </c>
      <c r="B15">
        <v>2019</v>
      </c>
      <c r="C15">
        <v>5.4880867004394531</v>
      </c>
      <c r="D15">
        <v>0.84432411193847656</v>
      </c>
    </row>
    <row r="16" spans="1:4">
      <c r="A16" t="s">
        <v>30</v>
      </c>
      <c r="B16">
        <v>2006</v>
      </c>
      <c r="C16">
        <v>4.7278709411621094</v>
      </c>
      <c r="D16">
        <v>0.77152818441390991</v>
      </c>
    </row>
    <row r="17" spans="1:9">
      <c r="A17" t="s">
        <v>30</v>
      </c>
      <c r="B17">
        <v>2007</v>
      </c>
      <c r="C17">
        <v>4.5681595802307129</v>
      </c>
      <c r="D17">
        <v>0.52204632759094238</v>
      </c>
    </row>
    <row r="18" spans="1:9" ht="15.75" thickBot="1">
      <c r="A18" t="s">
        <v>30</v>
      </c>
      <c r="B18">
        <v>2008</v>
      </c>
      <c r="C18">
        <v>4.8171892166137695</v>
      </c>
      <c r="D18">
        <v>0.60104328393936157</v>
      </c>
    </row>
    <row r="19" spans="1:9">
      <c r="A19" t="s">
        <v>30</v>
      </c>
      <c r="B19">
        <v>2009</v>
      </c>
      <c r="C19">
        <v>4.5737252235412598</v>
      </c>
      <c r="D19">
        <v>0.49813839793205261</v>
      </c>
      <c r="G19" s="13"/>
      <c r="H19" s="13" t="s">
        <v>2</v>
      </c>
      <c r="I19" s="13" t="s">
        <v>6</v>
      </c>
    </row>
    <row r="20" spans="1:9">
      <c r="A20" t="s">
        <v>30</v>
      </c>
      <c r="B20">
        <v>2010</v>
      </c>
      <c r="C20">
        <v>4.2186107635498047</v>
      </c>
      <c r="D20">
        <v>0.50107109546661377</v>
      </c>
      <c r="G20" t="s">
        <v>2</v>
      </c>
      <c r="H20">
        <v>1</v>
      </c>
    </row>
    <row r="21" spans="1:9" ht="15.75" thickBot="1">
      <c r="A21" t="s">
        <v>30</v>
      </c>
      <c r="B21">
        <v>2011</v>
      </c>
      <c r="C21">
        <v>4.6804695129394531</v>
      </c>
      <c r="D21">
        <v>0.53748428821563721</v>
      </c>
      <c r="G21" s="12" t="s">
        <v>6</v>
      </c>
      <c r="H21" s="96">
        <v>0.55226826831652143</v>
      </c>
      <c r="I21" s="12">
        <v>1</v>
      </c>
    </row>
    <row r="22" spans="1:9">
      <c r="A22" t="s">
        <v>30</v>
      </c>
      <c r="B22">
        <v>2012</v>
      </c>
      <c r="C22">
        <v>4.9107718467712402</v>
      </c>
      <c r="D22">
        <v>0.59885907173156738</v>
      </c>
    </row>
    <row r="23" spans="1:9">
      <c r="A23" t="s">
        <v>30</v>
      </c>
      <c r="B23">
        <v>2013</v>
      </c>
      <c r="C23">
        <v>5.4811782836914063</v>
      </c>
      <c r="D23">
        <v>0.67195695638656616</v>
      </c>
    </row>
    <row r="24" spans="1:9">
      <c r="A24" t="s">
        <v>30</v>
      </c>
      <c r="B24">
        <v>2014</v>
      </c>
      <c r="C24">
        <v>5.2515301704406738</v>
      </c>
      <c r="D24">
        <v>0.73277294635772705</v>
      </c>
    </row>
    <row r="25" spans="1:9">
      <c r="A25" t="s">
        <v>30</v>
      </c>
      <c r="B25">
        <v>2015</v>
      </c>
      <c r="C25">
        <v>5.1467747688293457</v>
      </c>
      <c r="D25">
        <v>0.7642894983291626</v>
      </c>
    </row>
    <row r="26" spans="1:9">
      <c r="A26" t="s">
        <v>30</v>
      </c>
      <c r="B26">
        <v>2016</v>
      </c>
      <c r="C26">
        <v>5.3038949966430664</v>
      </c>
      <c r="D26">
        <v>0.71257317066192627</v>
      </c>
    </row>
    <row r="27" spans="1:9">
      <c r="A27" t="s">
        <v>30</v>
      </c>
      <c r="B27">
        <v>2017</v>
      </c>
      <c r="C27">
        <v>5.1522793769836426</v>
      </c>
      <c r="D27">
        <v>0.73103046417236328</v>
      </c>
    </row>
    <row r="28" spans="1:9">
      <c r="A28" t="s">
        <v>30</v>
      </c>
      <c r="B28">
        <v>2018</v>
      </c>
      <c r="C28">
        <v>5.1679954528808594</v>
      </c>
      <c r="D28">
        <v>0.77244925498962402</v>
      </c>
    </row>
    <row r="29" spans="1:9">
      <c r="A29" t="s">
        <v>30</v>
      </c>
      <c r="B29">
        <v>2019</v>
      </c>
      <c r="C29">
        <v>5.1733894348144531</v>
      </c>
      <c r="D29">
        <v>0.8542485237121582</v>
      </c>
    </row>
    <row r="30" spans="1:9">
      <c r="A30" t="s">
        <v>8</v>
      </c>
      <c r="B30">
        <v>2006</v>
      </c>
      <c r="C30">
        <v>3.6751084327697754</v>
      </c>
      <c r="D30">
        <v>0.55259263515472412</v>
      </c>
    </row>
    <row r="31" spans="1:9">
      <c r="A31" t="s">
        <v>8</v>
      </c>
      <c r="B31">
        <v>2007</v>
      </c>
      <c r="C31">
        <v>3.7071945667266846</v>
      </c>
      <c r="D31">
        <v>0.46372252702713013</v>
      </c>
    </row>
    <row r="32" spans="1:9">
      <c r="A32" t="s">
        <v>8</v>
      </c>
      <c r="B32">
        <v>2008</v>
      </c>
      <c r="C32">
        <v>4.156090259552002</v>
      </c>
      <c r="D32">
        <v>0.61399739980697632</v>
      </c>
    </row>
    <row r="33" spans="1:4">
      <c r="A33" t="s">
        <v>8</v>
      </c>
      <c r="B33">
        <v>2009</v>
      </c>
      <c r="C33">
        <v>3.8006391525268555</v>
      </c>
      <c r="D33">
        <v>0.49531400203704834</v>
      </c>
    </row>
    <row r="34" spans="1:4">
      <c r="A34" t="s">
        <v>8</v>
      </c>
      <c r="B34">
        <v>2010</v>
      </c>
      <c r="C34">
        <v>4.101837158203125</v>
      </c>
      <c r="D34">
        <v>0.5578579306602478</v>
      </c>
    </row>
    <row r="35" spans="1:4">
      <c r="A35" t="s">
        <v>8</v>
      </c>
      <c r="B35">
        <v>2011</v>
      </c>
      <c r="C35">
        <v>4.2030305862426758</v>
      </c>
      <c r="D35">
        <v>0.63246452808380127</v>
      </c>
    </row>
    <row r="36" spans="1:4">
      <c r="A36" t="s">
        <v>8</v>
      </c>
      <c r="B36">
        <v>2012</v>
      </c>
      <c r="C36">
        <v>4.2544455528259277</v>
      </c>
      <c r="D36">
        <v>0.65872400999069214</v>
      </c>
    </row>
    <row r="37" spans="1:4">
      <c r="A37" t="s">
        <v>8</v>
      </c>
      <c r="B37">
        <v>2013</v>
      </c>
      <c r="C37">
        <v>4.3489208221435547</v>
      </c>
      <c r="D37">
        <v>0.72212761640548706</v>
      </c>
    </row>
    <row r="38" spans="1:4">
      <c r="A38" t="s">
        <v>8</v>
      </c>
      <c r="B38">
        <v>2014</v>
      </c>
      <c r="C38">
        <v>4.2875080108642578</v>
      </c>
      <c r="D38">
        <v>0.71978116035461426</v>
      </c>
    </row>
    <row r="39" spans="1:4">
      <c r="A39" t="s">
        <v>8</v>
      </c>
      <c r="B39">
        <v>2015</v>
      </c>
      <c r="C39">
        <v>4.1219406127929688</v>
      </c>
      <c r="D39">
        <v>0.63994497060775757</v>
      </c>
    </row>
    <row r="40" spans="1:4">
      <c r="A40" t="s">
        <v>8</v>
      </c>
      <c r="B40">
        <v>2016</v>
      </c>
      <c r="C40">
        <v>4.4483861923217773</v>
      </c>
      <c r="D40">
        <v>0.60646837949752808</v>
      </c>
    </row>
    <row r="41" spans="1:4">
      <c r="A41" t="s">
        <v>8</v>
      </c>
      <c r="B41">
        <v>2017</v>
      </c>
      <c r="C41">
        <v>4.4507746696472168</v>
      </c>
      <c r="D41">
        <v>0.82090878486633301</v>
      </c>
    </row>
    <row r="42" spans="1:4">
      <c r="A42" t="s">
        <v>8</v>
      </c>
      <c r="B42">
        <v>2018</v>
      </c>
      <c r="C42">
        <v>4.6590971946716309</v>
      </c>
      <c r="D42">
        <v>0.77514410018920898</v>
      </c>
    </row>
    <row r="43" spans="1:4">
      <c r="A43" t="s">
        <v>8</v>
      </c>
      <c r="B43">
        <v>2019</v>
      </c>
      <c r="C43">
        <v>4.8918356895446777</v>
      </c>
      <c r="D43">
        <v>0.81053411960601807</v>
      </c>
    </row>
    <row r="44" spans="1:4">
      <c r="A44" t="s">
        <v>37</v>
      </c>
      <c r="B44">
        <v>2006</v>
      </c>
      <c r="C44">
        <v>4.963742733001709</v>
      </c>
      <c r="D44">
        <v>0.64338821172714233</v>
      </c>
    </row>
    <row r="45" spans="1:4">
      <c r="A45" t="s">
        <v>37</v>
      </c>
      <c r="B45">
        <v>2007</v>
      </c>
      <c r="C45">
        <v>5.222867488861084</v>
      </c>
      <c r="D45">
        <v>0.59256970882415771</v>
      </c>
    </row>
    <row r="46" spans="1:4">
      <c r="A46" t="s">
        <v>37</v>
      </c>
      <c r="B46">
        <v>2008</v>
      </c>
      <c r="C46">
        <v>5.6187539100646973</v>
      </c>
      <c r="D46">
        <v>0.64277827739715576</v>
      </c>
    </row>
    <row r="47" spans="1:4">
      <c r="A47" t="s">
        <v>37</v>
      </c>
      <c r="B47">
        <v>2009</v>
      </c>
      <c r="C47">
        <v>5.1582279205322266</v>
      </c>
      <c r="D47">
        <v>0.61711513996124268</v>
      </c>
    </row>
    <row r="48" spans="1:4">
      <c r="A48" t="s">
        <v>37</v>
      </c>
      <c r="B48">
        <v>2010</v>
      </c>
      <c r="C48">
        <v>5.3847732543945313</v>
      </c>
      <c r="D48">
        <v>0.61315900087356567</v>
      </c>
    </row>
    <row r="49" spans="1:4">
      <c r="A49" t="s">
        <v>37</v>
      </c>
      <c r="B49">
        <v>2011</v>
      </c>
      <c r="C49">
        <v>5.3887662887573242</v>
      </c>
      <c r="D49">
        <v>0.62584757804870605</v>
      </c>
    </row>
    <row r="50" spans="1:4">
      <c r="A50" t="s">
        <v>37</v>
      </c>
      <c r="B50">
        <v>2012</v>
      </c>
      <c r="C50">
        <v>5.6207356452941895</v>
      </c>
      <c r="D50">
        <v>0.60910415649414063</v>
      </c>
    </row>
    <row r="51" spans="1:4">
      <c r="A51" t="s">
        <v>37</v>
      </c>
      <c r="B51">
        <v>2013</v>
      </c>
      <c r="C51">
        <v>5.537177562713623</v>
      </c>
      <c r="D51">
        <v>0.66118556261062622</v>
      </c>
    </row>
    <row r="52" spans="1:4">
      <c r="A52" t="s">
        <v>37</v>
      </c>
      <c r="B52">
        <v>2014</v>
      </c>
      <c r="C52">
        <v>6.0369768142700195</v>
      </c>
      <c r="D52">
        <v>0.74433207511901855</v>
      </c>
    </row>
    <row r="53" spans="1:4">
      <c r="A53" t="s">
        <v>37</v>
      </c>
      <c r="B53">
        <v>2015</v>
      </c>
      <c r="C53">
        <v>5.9955387115478516</v>
      </c>
      <c r="D53">
        <v>0.68545472621917725</v>
      </c>
    </row>
    <row r="54" spans="1:4">
      <c r="A54" t="s">
        <v>37</v>
      </c>
      <c r="B54">
        <v>2016</v>
      </c>
      <c r="C54">
        <v>5.8549456596374512</v>
      </c>
      <c r="D54">
        <v>0.71360629796981812</v>
      </c>
    </row>
    <row r="55" spans="1:4">
      <c r="A55" t="s">
        <v>37</v>
      </c>
      <c r="B55">
        <v>2017</v>
      </c>
      <c r="C55">
        <v>5.5787429809570313</v>
      </c>
      <c r="D55">
        <v>0.73087424039840698</v>
      </c>
    </row>
    <row r="56" spans="1:4">
      <c r="A56" t="s">
        <v>37</v>
      </c>
      <c r="B56">
        <v>2018</v>
      </c>
      <c r="C56">
        <v>5.5135002136230469</v>
      </c>
      <c r="D56">
        <v>0.7292822003364563</v>
      </c>
    </row>
    <row r="57" spans="1:4">
      <c r="A57" t="s">
        <v>37</v>
      </c>
      <c r="B57">
        <v>2019</v>
      </c>
      <c r="C57">
        <v>5.440523624420166</v>
      </c>
      <c r="D57">
        <v>0.71476608514785767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C504-A278-43FA-BEFC-FA35FF60BD3B}">
  <dimension ref="A1:M57"/>
  <sheetViews>
    <sheetView zoomScale="49" workbookViewId="0">
      <selection activeCell="Z13" sqref="Z13"/>
    </sheetView>
  </sheetViews>
  <sheetFormatPr defaultRowHeight="15"/>
  <cols>
    <col min="1" max="3" width="11.28515625" style="36" customWidth="1"/>
    <col min="4" max="4" width="13.140625" style="36" customWidth="1"/>
    <col min="6" max="6" width="13.140625" customWidth="1"/>
    <col min="7" max="7" width="10.42578125" customWidth="1"/>
    <col min="8" max="8" width="12.7109375" customWidth="1"/>
    <col min="11" max="11" width="12.28515625" customWidth="1"/>
    <col min="12" max="12" width="12.42578125" customWidth="1"/>
    <col min="13" max="13" width="12.28515625" customWidth="1"/>
  </cols>
  <sheetData>
    <row r="1" spans="1:13">
      <c r="A1" s="36" t="s">
        <v>0</v>
      </c>
      <c r="B1" s="36" t="s">
        <v>1</v>
      </c>
      <c r="C1" s="36" t="s">
        <v>2</v>
      </c>
      <c r="D1" s="36" t="s">
        <v>4</v>
      </c>
    </row>
    <row r="2" spans="1:13">
      <c r="A2" s="36" t="s">
        <v>9</v>
      </c>
      <c r="B2" s="36">
        <v>2006</v>
      </c>
      <c r="C2" s="36">
        <v>4.2893109321594238</v>
      </c>
      <c r="D2" s="36">
        <v>0.6818767786026001</v>
      </c>
      <c r="F2" s="38" t="s">
        <v>72</v>
      </c>
    </row>
    <row r="3" spans="1:13">
      <c r="A3" s="36" t="s">
        <v>9</v>
      </c>
      <c r="B3" s="36">
        <v>2007</v>
      </c>
      <c r="C3" s="36">
        <v>4.8815155029296875</v>
      </c>
      <c r="D3" s="36">
        <v>0.75964432954788208</v>
      </c>
    </row>
    <row r="4" spans="1:13" ht="15.75" thickBot="1">
      <c r="A4" s="36" t="s">
        <v>9</v>
      </c>
      <c r="B4" s="36">
        <v>2008</v>
      </c>
      <c r="C4" s="36">
        <v>4.6519722938537598</v>
      </c>
      <c r="D4" s="36">
        <v>0.70948553085327148</v>
      </c>
      <c r="F4" t="s">
        <v>45</v>
      </c>
      <c r="K4" t="s">
        <v>9</v>
      </c>
    </row>
    <row r="5" spans="1:13">
      <c r="A5" s="36" t="s">
        <v>9</v>
      </c>
      <c r="B5" s="36">
        <v>2009</v>
      </c>
      <c r="C5" s="36">
        <v>4.177581787109375</v>
      </c>
      <c r="D5" s="36">
        <v>0.68000692129135132</v>
      </c>
      <c r="F5" s="13"/>
      <c r="G5" s="13" t="s">
        <v>2</v>
      </c>
      <c r="H5" s="13" t="s">
        <v>4</v>
      </c>
      <c r="K5" s="13"/>
      <c r="L5" s="13" t="s">
        <v>2</v>
      </c>
      <c r="M5" s="13" t="s">
        <v>4</v>
      </c>
    </row>
    <row r="6" spans="1:13">
      <c r="A6" s="36" t="s">
        <v>9</v>
      </c>
      <c r="B6" s="36">
        <v>2010</v>
      </c>
      <c r="C6" s="36">
        <v>4.3678112030029297</v>
      </c>
      <c r="D6" s="36">
        <v>0.66034233570098877</v>
      </c>
      <c r="F6" t="s">
        <v>2</v>
      </c>
      <c r="G6">
        <v>1</v>
      </c>
      <c r="K6" t="s">
        <v>2</v>
      </c>
      <c r="L6">
        <v>1</v>
      </c>
    </row>
    <row r="7" spans="1:13" ht="15.75" thickBot="1">
      <c r="A7" s="36" t="s">
        <v>9</v>
      </c>
      <c r="B7" s="36">
        <v>2011</v>
      </c>
      <c r="C7" s="36">
        <v>4.2604913711547852</v>
      </c>
      <c r="D7" s="36">
        <v>0.70510846376419067</v>
      </c>
      <c r="F7" s="12" t="s">
        <v>4</v>
      </c>
      <c r="G7" s="12">
        <v>0.85259132625531486</v>
      </c>
      <c r="H7" s="12">
        <v>1</v>
      </c>
      <c r="K7" s="12" t="s">
        <v>4</v>
      </c>
      <c r="L7" s="12">
        <v>0.8145542775524387</v>
      </c>
      <c r="M7" s="12">
        <v>1</v>
      </c>
    </row>
    <row r="8" spans="1:13">
      <c r="A8" s="36" t="s">
        <v>9</v>
      </c>
      <c r="B8" s="36">
        <v>2012</v>
      </c>
      <c r="C8" s="36">
        <v>4.3197116851806641</v>
      </c>
      <c r="D8" s="36">
        <v>0.67644643783569336</v>
      </c>
    </row>
    <row r="9" spans="1:13">
      <c r="A9" s="36" t="s">
        <v>9</v>
      </c>
      <c r="B9" s="36">
        <v>2013</v>
      </c>
      <c r="C9" s="36">
        <v>4.277191162109375</v>
      </c>
      <c r="D9" s="36">
        <v>0.72326004505157471</v>
      </c>
    </row>
    <row r="10" spans="1:13">
      <c r="A10" s="36" t="s">
        <v>9</v>
      </c>
      <c r="B10" s="36">
        <v>2014</v>
      </c>
      <c r="C10" s="36">
        <v>4.4530830383300781</v>
      </c>
      <c r="D10" s="36">
        <v>0.73876351118087769</v>
      </c>
    </row>
    <row r="11" spans="1:13">
      <c r="A11" s="36" t="s">
        <v>9</v>
      </c>
      <c r="B11" s="36">
        <v>2015</v>
      </c>
      <c r="C11" s="36">
        <v>4.3483195304870605</v>
      </c>
      <c r="D11" s="36">
        <v>0.72255104780197144</v>
      </c>
    </row>
    <row r="12" spans="1:13">
      <c r="A12" s="36" t="s">
        <v>9</v>
      </c>
      <c r="B12" s="36">
        <v>2016</v>
      </c>
      <c r="C12" s="36">
        <v>4.3254718780517578</v>
      </c>
      <c r="D12" s="36">
        <v>0.70921832323074341</v>
      </c>
    </row>
    <row r="13" spans="1:13">
      <c r="A13" s="36" t="s">
        <v>9</v>
      </c>
      <c r="B13" s="36">
        <v>2017</v>
      </c>
      <c r="C13" s="36">
        <v>4.2877364158630371</v>
      </c>
      <c r="D13" s="36">
        <v>0.6979249119758606</v>
      </c>
    </row>
    <row r="14" spans="1:13">
      <c r="A14" s="36" t="s">
        <v>9</v>
      </c>
      <c r="B14" s="36">
        <v>2018</v>
      </c>
      <c r="C14" s="36">
        <v>5.0624485015869141</v>
      </c>
      <c r="D14" s="36">
        <v>0.8144490122795105</v>
      </c>
    </row>
    <row r="15" spans="1:13">
      <c r="A15" s="36" t="s">
        <v>9</v>
      </c>
      <c r="B15" s="36">
        <v>2019</v>
      </c>
      <c r="C15" s="36">
        <v>5.4880867004394531</v>
      </c>
      <c r="D15" s="36">
        <v>0.78160387277603149</v>
      </c>
    </row>
    <row r="16" spans="1:13">
      <c r="A16" s="36" t="s">
        <v>30</v>
      </c>
      <c r="B16" s="36">
        <v>2006</v>
      </c>
      <c r="C16" s="36">
        <v>4.7278709411621094</v>
      </c>
      <c r="D16" s="36">
        <v>0.85441488027572632</v>
      </c>
    </row>
    <row r="17" spans="1:13">
      <c r="A17" s="36" t="s">
        <v>30</v>
      </c>
      <c r="B17" s="36">
        <v>2007</v>
      </c>
      <c r="C17" s="36">
        <v>4.5681595802307129</v>
      </c>
      <c r="D17" s="36">
        <v>0.75324678421020508</v>
      </c>
    </row>
    <row r="18" spans="1:13">
      <c r="A18" s="36" t="s">
        <v>30</v>
      </c>
      <c r="B18" s="36">
        <v>2008</v>
      </c>
      <c r="C18" s="36">
        <v>4.8171892166137695</v>
      </c>
      <c r="D18" s="36">
        <v>0.68426722288131714</v>
      </c>
    </row>
    <row r="19" spans="1:13">
      <c r="A19" s="36" t="s">
        <v>30</v>
      </c>
      <c r="B19" s="36">
        <v>2009</v>
      </c>
      <c r="C19" s="36">
        <v>4.5737252235412598</v>
      </c>
      <c r="D19" s="36">
        <v>0.73597031831741333</v>
      </c>
    </row>
    <row r="20" spans="1:13">
      <c r="A20" s="36" t="s">
        <v>30</v>
      </c>
      <c r="B20" s="36">
        <v>2010</v>
      </c>
      <c r="C20" s="36">
        <v>4.2186107635498047</v>
      </c>
      <c r="D20" s="36">
        <v>0.68700098991394043</v>
      </c>
    </row>
    <row r="21" spans="1:13">
      <c r="A21" s="36" t="s">
        <v>30</v>
      </c>
      <c r="B21" s="36">
        <v>2011</v>
      </c>
      <c r="C21" s="36">
        <v>4.6804695129394531</v>
      </c>
      <c r="D21" s="36">
        <v>0.72519391775131226</v>
      </c>
    </row>
    <row r="22" spans="1:13" ht="15.75" thickBot="1">
      <c r="A22" s="36" t="s">
        <v>30</v>
      </c>
      <c r="B22" s="36">
        <v>2012</v>
      </c>
      <c r="C22" s="36">
        <v>4.9107718467712402</v>
      </c>
      <c r="D22" s="36">
        <v>0.76187324523925781</v>
      </c>
      <c r="F22" t="s">
        <v>30</v>
      </c>
      <c r="K22" t="s">
        <v>8</v>
      </c>
    </row>
    <row r="23" spans="1:13">
      <c r="A23" s="36" t="s">
        <v>30</v>
      </c>
      <c r="B23" s="36">
        <v>2013</v>
      </c>
      <c r="C23" s="36">
        <v>5.4811782836914063</v>
      </c>
      <c r="D23" s="36">
        <v>0.76969015598297119</v>
      </c>
      <c r="F23" s="13"/>
      <c r="G23" s="13" t="s">
        <v>2</v>
      </c>
      <c r="H23" s="13" t="s">
        <v>4</v>
      </c>
      <c r="K23" s="13"/>
      <c r="L23" s="13" t="s">
        <v>2</v>
      </c>
      <c r="M23" s="13" t="s">
        <v>4</v>
      </c>
    </row>
    <row r="24" spans="1:13">
      <c r="A24" s="36" t="s">
        <v>30</v>
      </c>
      <c r="B24" s="36">
        <v>2014</v>
      </c>
      <c r="C24" s="36">
        <v>5.2515301704406738</v>
      </c>
      <c r="D24" s="36">
        <v>0.79943335056304932</v>
      </c>
      <c r="F24" t="s">
        <v>2</v>
      </c>
      <c r="G24">
        <v>1</v>
      </c>
      <c r="K24" t="s">
        <v>2</v>
      </c>
      <c r="L24">
        <v>1</v>
      </c>
    </row>
    <row r="25" spans="1:13" ht="15.75" thickBot="1">
      <c r="A25" s="36" t="s">
        <v>30</v>
      </c>
      <c r="B25" s="36">
        <v>2015</v>
      </c>
      <c r="C25" s="36">
        <v>5.1467747688293457</v>
      </c>
      <c r="D25" s="36">
        <v>0.78570276498794556</v>
      </c>
      <c r="F25" s="12" t="s">
        <v>4</v>
      </c>
      <c r="G25" s="12">
        <v>0.51271934804661634</v>
      </c>
      <c r="H25" s="12">
        <v>1</v>
      </c>
      <c r="K25" s="12" t="s">
        <v>11</v>
      </c>
      <c r="L25" s="12">
        <v>0.31873773946071299</v>
      </c>
      <c r="M25" s="12">
        <v>1</v>
      </c>
    </row>
    <row r="26" spans="1:13">
      <c r="A26" s="36" t="s">
        <v>30</v>
      </c>
      <c r="B26" s="36">
        <v>2016</v>
      </c>
      <c r="C26" s="36">
        <v>5.3038949966430664</v>
      </c>
      <c r="D26" s="36">
        <v>0.77727103233337402</v>
      </c>
    </row>
    <row r="27" spans="1:13">
      <c r="A27" s="36" t="s">
        <v>30</v>
      </c>
      <c r="B27" s="36">
        <v>2017</v>
      </c>
      <c r="C27" s="36">
        <v>5.1522793769836426</v>
      </c>
      <c r="D27" s="36">
        <v>0.78703939914703369</v>
      </c>
    </row>
    <row r="28" spans="1:13">
      <c r="A28" s="36" t="s">
        <v>30</v>
      </c>
      <c r="B28" s="36">
        <v>2018</v>
      </c>
      <c r="C28" s="36">
        <v>5.1679954528808594</v>
      </c>
      <c r="D28" s="36">
        <v>0.78122991323471069</v>
      </c>
    </row>
    <row r="29" spans="1:13">
      <c r="A29" s="36" t="s">
        <v>30</v>
      </c>
      <c r="B29" s="36">
        <v>2019</v>
      </c>
      <c r="C29" s="36">
        <v>5.1733894348144531</v>
      </c>
      <c r="D29" s="36">
        <v>0.88675642013549805</v>
      </c>
    </row>
    <row r="30" spans="1:13">
      <c r="A30" s="36" t="s">
        <v>8</v>
      </c>
      <c r="B30" s="36">
        <v>2006</v>
      </c>
      <c r="C30" s="36">
        <v>3.6751084327697754</v>
      </c>
      <c r="D30" s="36">
        <v>0.64663594961166382</v>
      </c>
    </row>
    <row r="31" spans="1:13">
      <c r="A31" s="36" t="s">
        <v>8</v>
      </c>
      <c r="B31" s="36">
        <v>2007</v>
      </c>
      <c r="C31" s="36">
        <v>3.7071945667266846</v>
      </c>
      <c r="D31" s="36">
        <v>0.54836905002593994</v>
      </c>
    </row>
    <row r="32" spans="1:13">
      <c r="A32" s="36" t="s">
        <v>8</v>
      </c>
      <c r="B32" s="36">
        <v>2008</v>
      </c>
      <c r="C32" s="36">
        <v>4.156090259552002</v>
      </c>
      <c r="D32" s="36">
        <v>0.6075127124786377</v>
      </c>
    </row>
    <row r="33" spans="1:8">
      <c r="A33" s="36" t="s">
        <v>8</v>
      </c>
      <c r="B33" s="36">
        <v>2009</v>
      </c>
      <c r="C33" s="36">
        <v>3.8006391525268555</v>
      </c>
      <c r="D33" s="36">
        <v>0.54351305961608887</v>
      </c>
    </row>
    <row r="34" spans="1:8">
      <c r="A34" s="36" t="s">
        <v>8</v>
      </c>
      <c r="B34" s="36">
        <v>2010</v>
      </c>
      <c r="C34" s="36">
        <v>4.101837158203125</v>
      </c>
      <c r="D34" s="36">
        <v>0.54038894176483154</v>
      </c>
    </row>
    <row r="35" spans="1:8">
      <c r="A35" s="36" t="s">
        <v>8</v>
      </c>
      <c r="B35" s="36">
        <v>2011</v>
      </c>
      <c r="C35" s="36">
        <v>4.2030305862426758</v>
      </c>
      <c r="D35" s="36">
        <v>0.50293737649917603</v>
      </c>
    </row>
    <row r="36" spans="1:8">
      <c r="A36" s="36" t="s">
        <v>8</v>
      </c>
      <c r="B36" s="36">
        <v>2012</v>
      </c>
      <c r="C36" s="36">
        <v>4.2544455528259277</v>
      </c>
      <c r="D36" s="36">
        <v>0.53258645534515381</v>
      </c>
    </row>
    <row r="37" spans="1:8">
      <c r="A37" s="36" t="s">
        <v>8</v>
      </c>
      <c r="B37" s="36">
        <v>2013</v>
      </c>
      <c r="C37" s="36">
        <v>4.3489208221435547</v>
      </c>
      <c r="D37" s="36">
        <v>0.55916577577590942</v>
      </c>
    </row>
    <row r="38" spans="1:8">
      <c r="A38" s="36" t="s">
        <v>8</v>
      </c>
      <c r="B38" s="36">
        <v>2014</v>
      </c>
      <c r="C38" s="36">
        <v>4.2875080108642578</v>
      </c>
      <c r="D38" s="36">
        <v>0.55842000246047974</v>
      </c>
    </row>
    <row r="39" spans="1:8" ht="15.75" thickBot="1">
      <c r="A39" s="36" t="s">
        <v>8</v>
      </c>
      <c r="B39" s="36">
        <v>2015</v>
      </c>
      <c r="C39" s="36">
        <v>4.1219406127929688</v>
      </c>
      <c r="D39" s="36">
        <v>0.51737159490585327</v>
      </c>
      <c r="F39" t="s">
        <v>37</v>
      </c>
    </row>
    <row r="40" spans="1:8">
      <c r="A40" s="36" t="s">
        <v>8</v>
      </c>
      <c r="B40" s="36">
        <v>2016</v>
      </c>
      <c r="C40" s="36">
        <v>4.4483861923217773</v>
      </c>
      <c r="D40" s="36">
        <v>0.53341227769851685</v>
      </c>
      <c r="F40" s="13"/>
      <c r="G40" s="13" t="s">
        <v>2</v>
      </c>
      <c r="H40" s="13" t="s">
        <v>4</v>
      </c>
    </row>
    <row r="41" spans="1:8">
      <c r="A41" s="36" t="s">
        <v>8</v>
      </c>
      <c r="B41" s="36">
        <v>2017</v>
      </c>
      <c r="C41" s="36">
        <v>4.4507746696472168</v>
      </c>
      <c r="D41" s="36">
        <v>0.59049516916275024</v>
      </c>
      <c r="F41" t="s">
        <v>2</v>
      </c>
      <c r="G41">
        <v>1</v>
      </c>
    </row>
    <row r="42" spans="1:8" ht="15.75" thickBot="1">
      <c r="A42" s="36" t="s">
        <v>8</v>
      </c>
      <c r="B42" s="36">
        <v>2018</v>
      </c>
      <c r="C42" s="36">
        <v>4.6590971946716309</v>
      </c>
      <c r="D42" s="36">
        <v>0.61721855401992798</v>
      </c>
      <c r="F42" s="12" t="s">
        <v>4</v>
      </c>
      <c r="G42" s="12">
        <v>0.54853832148559345</v>
      </c>
      <c r="H42" s="12">
        <v>1</v>
      </c>
    </row>
    <row r="43" spans="1:8">
      <c r="A43" s="36" t="s">
        <v>8</v>
      </c>
      <c r="B43" s="36">
        <v>2019</v>
      </c>
      <c r="C43" s="36">
        <v>4.8918356895446777</v>
      </c>
      <c r="D43" s="36">
        <v>0.67497605085372925</v>
      </c>
    </row>
    <row r="44" spans="1:8">
      <c r="A44" s="36" t="s">
        <v>37</v>
      </c>
      <c r="B44" s="36">
        <v>2006</v>
      </c>
      <c r="C44" s="36">
        <v>4.963742733001709</v>
      </c>
      <c r="D44" s="36">
        <v>0.89470738172531128</v>
      </c>
    </row>
    <row r="45" spans="1:8">
      <c r="A45" s="36" t="s">
        <v>37</v>
      </c>
      <c r="B45" s="36">
        <v>2007</v>
      </c>
      <c r="C45" s="36">
        <v>5.222867488861084</v>
      </c>
      <c r="D45" s="36">
        <v>0.88465636968612671</v>
      </c>
    </row>
    <row r="46" spans="1:8">
      <c r="A46" s="36" t="s">
        <v>37</v>
      </c>
      <c r="B46" s="36">
        <v>2008</v>
      </c>
      <c r="C46" s="36">
        <v>5.6187539100646973</v>
      </c>
      <c r="D46" s="36">
        <v>0.88231617212295532</v>
      </c>
    </row>
    <row r="47" spans="1:8">
      <c r="A47" s="36" t="s">
        <v>37</v>
      </c>
      <c r="B47" s="36">
        <v>2009</v>
      </c>
      <c r="C47" s="36">
        <v>5.1582279205322266</v>
      </c>
      <c r="D47" s="36">
        <v>0.90807557106018066</v>
      </c>
    </row>
    <row r="48" spans="1:8">
      <c r="A48" s="36" t="s">
        <v>37</v>
      </c>
      <c r="B48" s="36">
        <v>2010</v>
      </c>
      <c r="C48" s="36">
        <v>5.3847732543945313</v>
      </c>
      <c r="D48" s="36">
        <v>0.9088141918182373</v>
      </c>
    </row>
    <row r="49" spans="1:4">
      <c r="A49" s="36" t="s">
        <v>37</v>
      </c>
      <c r="B49" s="36">
        <v>2011</v>
      </c>
      <c r="C49" s="36">
        <v>5.3887662887573242</v>
      </c>
      <c r="D49" s="36">
        <v>0.88341689109802246</v>
      </c>
    </row>
    <row r="50" spans="1:4">
      <c r="A50" s="36" t="s">
        <v>37</v>
      </c>
      <c r="B50" s="36">
        <v>2012</v>
      </c>
      <c r="C50" s="36">
        <v>5.6207356452941895</v>
      </c>
      <c r="D50" s="36">
        <v>0.90129512548446655</v>
      </c>
    </row>
    <row r="51" spans="1:4">
      <c r="A51" s="36" t="s">
        <v>37</v>
      </c>
      <c r="B51" s="36">
        <v>2013</v>
      </c>
      <c r="C51" s="36">
        <v>5.537177562713623</v>
      </c>
      <c r="D51" s="36">
        <v>0.88085699081420898</v>
      </c>
    </row>
    <row r="52" spans="1:4">
      <c r="A52" s="36" t="s">
        <v>37</v>
      </c>
      <c r="B52" s="36">
        <v>2014</v>
      </c>
      <c r="C52" s="36">
        <v>6.0369768142700195</v>
      </c>
      <c r="D52" s="36">
        <v>0.9317554235458374</v>
      </c>
    </row>
    <row r="53" spans="1:4">
      <c r="A53" s="36" t="s">
        <v>37</v>
      </c>
      <c r="B53" s="36">
        <v>2015</v>
      </c>
      <c r="C53" s="36">
        <v>5.9955387115478516</v>
      </c>
      <c r="D53" s="36">
        <v>0.92436325550079346</v>
      </c>
    </row>
    <row r="54" spans="1:4">
      <c r="A54" s="36" t="s">
        <v>37</v>
      </c>
      <c r="B54" s="36">
        <v>2016</v>
      </c>
      <c r="C54" s="36">
        <v>5.8549456596374512</v>
      </c>
      <c r="D54" s="36">
        <v>0.91092735528945923</v>
      </c>
    </row>
    <row r="55" spans="1:4">
      <c r="A55" s="36" t="s">
        <v>37</v>
      </c>
      <c r="B55" s="36">
        <v>2017</v>
      </c>
      <c r="C55" s="36">
        <v>5.5787429809570313</v>
      </c>
      <c r="D55" s="36">
        <v>0.89615130424499512</v>
      </c>
    </row>
    <row r="56" spans="1:4">
      <c r="A56" s="36" t="s">
        <v>37</v>
      </c>
      <c r="B56" s="36">
        <v>2018</v>
      </c>
      <c r="C56" s="36">
        <v>5.5135002136230469</v>
      </c>
      <c r="D56" s="36">
        <v>0.90872609615325928</v>
      </c>
    </row>
    <row r="57" spans="1:4">
      <c r="A57" s="36" t="s">
        <v>37</v>
      </c>
      <c r="B57" s="36">
        <v>2019</v>
      </c>
      <c r="C57" s="36">
        <v>5.440523624420166</v>
      </c>
      <c r="D57" s="36">
        <v>0.9100988507270813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89A4-5DE6-4D13-9419-0C72FBF49071}">
  <dimension ref="A1:AD88"/>
  <sheetViews>
    <sheetView zoomScale="62" zoomScaleNormal="70" workbookViewId="0">
      <selection activeCell="V52" sqref="V52"/>
    </sheetView>
  </sheetViews>
  <sheetFormatPr defaultRowHeight="15"/>
  <cols>
    <col min="1" max="1" width="14.42578125" style="2" bestFit="1" customWidth="1"/>
    <col min="2" max="2" width="9.140625" style="2"/>
    <col min="3" max="4" width="11.42578125" style="2" bestFit="1" customWidth="1"/>
    <col min="5" max="13" width="9.140625" style="2"/>
    <col min="14" max="14" width="11.5703125" style="2" customWidth="1"/>
    <col min="15" max="15" width="10.28515625" style="2" customWidth="1"/>
    <col min="16" max="16" width="10.42578125" style="2" customWidth="1"/>
    <col min="17" max="27" width="9.140625" style="2"/>
    <col min="28" max="28" width="10.42578125" style="2" customWidth="1"/>
    <col min="29" max="29" width="12.42578125" style="2" customWidth="1"/>
    <col min="30" max="30" width="10" style="2" customWidth="1"/>
    <col min="31" max="16384" width="9.140625" style="2"/>
  </cols>
  <sheetData>
    <row r="1" spans="1:30" ht="15.75" thickBot="1">
      <c r="A1" s="49" t="s">
        <v>0</v>
      </c>
      <c r="B1" s="49" t="s">
        <v>1</v>
      </c>
      <c r="C1" s="48" t="s">
        <v>2</v>
      </c>
      <c r="D1" s="48" t="s">
        <v>7</v>
      </c>
    </row>
    <row r="2" spans="1:30">
      <c r="A2" s="49" t="s">
        <v>9</v>
      </c>
      <c r="B2" s="50">
        <v>2006</v>
      </c>
      <c r="C2" s="48">
        <v>4.2893109321594238</v>
      </c>
      <c r="D2" s="48">
        <v>-0.23490116000175476</v>
      </c>
      <c r="N2" s="53"/>
      <c r="O2" s="53" t="s">
        <v>2</v>
      </c>
      <c r="P2" s="53" t="s">
        <v>7</v>
      </c>
      <c r="R2" s="2" t="s">
        <v>73</v>
      </c>
      <c r="AB2" s="53"/>
      <c r="AC2" s="53" t="s">
        <v>74</v>
      </c>
      <c r="AD2" s="53" t="s">
        <v>7</v>
      </c>
    </row>
    <row r="3" spans="1:30">
      <c r="A3" s="49" t="s">
        <v>9</v>
      </c>
      <c r="B3" s="50">
        <v>2007</v>
      </c>
      <c r="C3" s="48">
        <v>4.8815155029296875</v>
      </c>
      <c r="D3" s="48">
        <v>-0.25497710704803467</v>
      </c>
      <c r="N3" s="2" t="s">
        <v>2</v>
      </c>
      <c r="O3" s="2">
        <v>1</v>
      </c>
      <c r="AB3" s="2" t="s">
        <v>39</v>
      </c>
      <c r="AC3" s="2">
        <v>1</v>
      </c>
    </row>
    <row r="4" spans="1:30" ht="15.75" thickBot="1">
      <c r="A4" s="49" t="s">
        <v>9</v>
      </c>
      <c r="B4" s="50">
        <v>2008</v>
      </c>
      <c r="C4" s="48">
        <v>4.6519722938537598</v>
      </c>
      <c r="D4" s="48">
        <v>-0.21904514729976654</v>
      </c>
      <c r="N4" s="51" t="s">
        <v>7</v>
      </c>
      <c r="O4" s="52">
        <v>7.4346445581961497E-3</v>
      </c>
      <c r="P4" s="51">
        <v>1</v>
      </c>
      <c r="AB4" s="51" t="s">
        <v>7</v>
      </c>
      <c r="AC4" s="52">
        <v>8.0198269335646347E-2</v>
      </c>
      <c r="AD4" s="51">
        <v>1</v>
      </c>
    </row>
    <row r="5" spans="1:30">
      <c r="A5" s="49" t="s">
        <v>9</v>
      </c>
      <c r="B5" s="50">
        <v>2009</v>
      </c>
      <c r="C5" s="48">
        <v>4.177581787109375</v>
      </c>
      <c r="D5" s="48">
        <v>-0.21777066588401794</v>
      </c>
    </row>
    <row r="6" spans="1:30">
      <c r="A6" s="49" t="s">
        <v>9</v>
      </c>
      <c r="B6" s="50">
        <v>2010</v>
      </c>
      <c r="C6" s="48">
        <v>4.3678112030029297</v>
      </c>
      <c r="D6" s="48">
        <v>-0.17998570203781128</v>
      </c>
    </row>
    <row r="7" spans="1:30">
      <c r="A7" s="49" t="s">
        <v>9</v>
      </c>
      <c r="B7" s="50">
        <v>2011</v>
      </c>
      <c r="C7" s="48">
        <v>4.2604913711547852</v>
      </c>
      <c r="D7" s="48">
        <v>-0.22973772883415222</v>
      </c>
    </row>
    <row r="8" spans="1:30">
      <c r="A8" s="49" t="s">
        <v>9</v>
      </c>
      <c r="B8" s="50">
        <v>2012</v>
      </c>
      <c r="C8" s="48">
        <v>4.3197116851806641</v>
      </c>
      <c r="D8" s="48">
        <v>-0.22002717852592468</v>
      </c>
    </row>
    <row r="9" spans="1:30">
      <c r="A9" s="49" t="s">
        <v>9</v>
      </c>
      <c r="B9" s="50">
        <v>2013</v>
      </c>
      <c r="C9" s="48">
        <v>4.277191162109375</v>
      </c>
      <c r="D9" s="48">
        <v>-0.20098087191581726</v>
      </c>
    </row>
    <row r="10" spans="1:30">
      <c r="A10" s="49" t="s">
        <v>9</v>
      </c>
      <c r="B10" s="50">
        <v>2014</v>
      </c>
      <c r="C10" s="48">
        <v>4.4530830383300781</v>
      </c>
      <c r="D10" s="48">
        <v>-0.22462782263755798</v>
      </c>
    </row>
    <row r="11" spans="1:30">
      <c r="A11" s="49" t="s">
        <v>9</v>
      </c>
      <c r="B11" s="50">
        <v>2015</v>
      </c>
      <c r="C11" s="48">
        <v>4.3483195304870605</v>
      </c>
      <c r="D11" s="48">
        <v>-0.20938660204410553</v>
      </c>
    </row>
    <row r="12" spans="1:30">
      <c r="A12" s="49" t="s">
        <v>9</v>
      </c>
      <c r="B12" s="50">
        <v>2016</v>
      </c>
      <c r="C12" s="48">
        <v>4.3254718780517578</v>
      </c>
      <c r="D12" s="48">
        <v>-0.17776034772396088</v>
      </c>
    </row>
    <row r="13" spans="1:30">
      <c r="A13" s="49" t="s">
        <v>9</v>
      </c>
      <c r="B13" s="50">
        <v>2017</v>
      </c>
      <c r="C13" s="48">
        <v>4.2877364158630371</v>
      </c>
      <c r="D13" s="48">
        <v>-0.15476050972938538</v>
      </c>
    </row>
    <row r="14" spans="1:30">
      <c r="A14" s="49" t="s">
        <v>9</v>
      </c>
      <c r="B14" s="50">
        <v>2018</v>
      </c>
      <c r="C14" s="48">
        <v>5.0624485015869141</v>
      </c>
      <c r="D14" s="48">
        <v>-0.17107826471328735</v>
      </c>
    </row>
    <row r="15" spans="1:30">
      <c r="A15" s="49" t="s">
        <v>9</v>
      </c>
      <c r="B15" s="50">
        <v>2019</v>
      </c>
      <c r="C15" s="48">
        <v>5.4880867004394531</v>
      </c>
      <c r="D15" s="48">
        <v>-0.18142963945865631</v>
      </c>
    </row>
    <row r="16" spans="1:30" ht="15.75" thickBot="1">
      <c r="A16" s="49" t="s">
        <v>30</v>
      </c>
      <c r="B16" s="50">
        <v>2006</v>
      </c>
      <c r="C16" s="48">
        <v>4.7278709411621094</v>
      </c>
      <c r="D16" s="48">
        <v>-0.2392495721578598</v>
      </c>
    </row>
    <row r="17" spans="1:30">
      <c r="A17" s="49" t="s">
        <v>30</v>
      </c>
      <c r="B17" s="50">
        <v>2007</v>
      </c>
      <c r="C17" s="48">
        <v>4.5681595802307129</v>
      </c>
      <c r="D17" s="48">
        <v>-0.21111249923706055</v>
      </c>
      <c r="N17" s="53"/>
      <c r="O17" s="53" t="s">
        <v>2</v>
      </c>
      <c r="P17" s="53" t="s">
        <v>7</v>
      </c>
      <c r="AB17" s="53"/>
      <c r="AC17" s="53" t="s">
        <v>2</v>
      </c>
      <c r="AD17" s="53" t="s">
        <v>7</v>
      </c>
    </row>
    <row r="18" spans="1:30">
      <c r="A18" s="49" t="s">
        <v>30</v>
      </c>
      <c r="B18" s="50">
        <v>2008</v>
      </c>
      <c r="C18" s="48">
        <v>4.8171892166137695</v>
      </c>
      <c r="D18" s="48">
        <v>-3.381616622209549E-2</v>
      </c>
      <c r="N18" s="2" t="s">
        <v>2</v>
      </c>
      <c r="O18" s="2">
        <v>1</v>
      </c>
      <c r="AB18" s="2" t="s">
        <v>2</v>
      </c>
      <c r="AC18" s="2">
        <v>1</v>
      </c>
    </row>
    <row r="19" spans="1:30" ht="15.75" thickBot="1">
      <c r="A19" s="49" t="s">
        <v>30</v>
      </c>
      <c r="B19" s="50">
        <v>2009</v>
      </c>
      <c r="C19" s="48">
        <v>4.5737252235412598</v>
      </c>
      <c r="D19" s="48">
        <v>-9.1217078268527985E-2</v>
      </c>
      <c r="N19" s="51" t="s">
        <v>7</v>
      </c>
      <c r="O19" s="52">
        <v>0.15837913059687811</v>
      </c>
      <c r="P19" s="51">
        <v>1</v>
      </c>
      <c r="AB19" s="51" t="s">
        <v>7</v>
      </c>
      <c r="AC19" s="52">
        <v>0.36346384011311667</v>
      </c>
      <c r="AD19" s="51">
        <v>1</v>
      </c>
    </row>
    <row r="20" spans="1:30">
      <c r="A20" s="49" t="s">
        <v>30</v>
      </c>
      <c r="B20" s="50">
        <v>2010</v>
      </c>
      <c r="C20" s="48">
        <v>4.2186107635498047</v>
      </c>
      <c r="D20" s="48">
        <v>-0.1277264803647995</v>
      </c>
    </row>
    <row r="21" spans="1:30">
      <c r="A21" s="49" t="s">
        <v>30</v>
      </c>
      <c r="B21" s="50">
        <v>2011</v>
      </c>
      <c r="C21" s="48">
        <v>4.6804695129394531</v>
      </c>
      <c r="D21" s="48">
        <v>-0.11023659259080887</v>
      </c>
    </row>
    <row r="22" spans="1:30">
      <c r="A22" s="49" t="s">
        <v>30</v>
      </c>
      <c r="B22" s="50">
        <v>2012</v>
      </c>
      <c r="C22" s="48">
        <v>4.9107718467712402</v>
      </c>
      <c r="D22" s="48">
        <v>-0.14562302827835083</v>
      </c>
    </row>
    <row r="23" spans="1:30">
      <c r="A23" s="49" t="s">
        <v>30</v>
      </c>
      <c r="B23" s="50">
        <v>2013</v>
      </c>
      <c r="C23" s="48">
        <v>5.4811782836914063</v>
      </c>
      <c r="D23" s="48">
        <v>-0.1734439879655838</v>
      </c>
    </row>
    <row r="24" spans="1:30">
      <c r="A24" s="49" t="s">
        <v>30</v>
      </c>
      <c r="B24" s="50">
        <v>2014</v>
      </c>
      <c r="C24" s="48">
        <v>5.2515301704406738</v>
      </c>
      <c r="D24" s="48">
        <v>-0.21381649374961853</v>
      </c>
    </row>
    <row r="25" spans="1:30">
      <c r="A25" s="49" t="s">
        <v>30</v>
      </c>
      <c r="B25" s="50">
        <v>2015</v>
      </c>
      <c r="C25" s="48">
        <v>5.1467747688293457</v>
      </c>
      <c r="D25" s="48">
        <v>-0.20340487360954285</v>
      </c>
    </row>
    <row r="26" spans="1:30">
      <c r="A26" s="49" t="s">
        <v>30</v>
      </c>
      <c r="B26" s="50">
        <v>2016</v>
      </c>
      <c r="C26" s="48">
        <v>5.3038949966430664</v>
      </c>
      <c r="D26" s="48">
        <v>-0.20979988574981689</v>
      </c>
    </row>
    <row r="27" spans="1:30">
      <c r="A27" s="49" t="s">
        <v>30</v>
      </c>
      <c r="B27" s="50">
        <v>2017</v>
      </c>
      <c r="C27" s="48">
        <v>5.1522793769836426</v>
      </c>
      <c r="D27" s="48">
        <v>-0.23079732060432434</v>
      </c>
    </row>
    <row r="28" spans="1:30">
      <c r="A28" s="49" t="s">
        <v>30</v>
      </c>
      <c r="B28" s="50">
        <v>2018</v>
      </c>
      <c r="C28" s="48">
        <v>5.1679954528808594</v>
      </c>
      <c r="D28" s="48">
        <v>-0.23728296160697937</v>
      </c>
    </row>
    <row r="29" spans="1:30">
      <c r="A29" s="49" t="s">
        <v>30</v>
      </c>
      <c r="B29" s="50">
        <v>2019</v>
      </c>
      <c r="C29" s="48">
        <v>5.1733894348144531</v>
      </c>
      <c r="D29" s="48">
        <v>-0.22002698481082916</v>
      </c>
    </row>
    <row r="30" spans="1:30">
      <c r="A30" s="49" t="s">
        <v>8</v>
      </c>
      <c r="B30" s="50">
        <v>2006</v>
      </c>
      <c r="C30" s="48">
        <v>3.6751084327697754</v>
      </c>
      <c r="D30" s="48">
        <v>-0.27255910634994507</v>
      </c>
    </row>
    <row r="31" spans="1:30">
      <c r="A31" s="49" t="s">
        <v>8</v>
      </c>
      <c r="B31" s="50">
        <v>2007</v>
      </c>
      <c r="C31" s="48">
        <v>3.7071945667266846</v>
      </c>
      <c r="D31" s="48">
        <v>-0.27222028374671936</v>
      </c>
    </row>
    <row r="32" spans="1:30">
      <c r="A32" s="49" t="s">
        <v>8</v>
      </c>
      <c r="B32" s="50">
        <v>2008</v>
      </c>
      <c r="C32" s="48">
        <v>4.156090259552002</v>
      </c>
      <c r="D32" s="48">
        <v>-0.22981572151184082</v>
      </c>
    </row>
    <row r="33" spans="1:16" ht="15.75" thickBot="1">
      <c r="A33" s="49" t="s">
        <v>8</v>
      </c>
      <c r="B33" s="50">
        <v>2009</v>
      </c>
      <c r="C33" s="48">
        <v>3.8006391525268555</v>
      </c>
      <c r="D33" s="48">
        <v>-0.23808903992176056</v>
      </c>
    </row>
    <row r="34" spans="1:16">
      <c r="A34" s="49" t="s">
        <v>8</v>
      </c>
      <c r="B34" s="50">
        <v>2010</v>
      </c>
      <c r="C34" s="48">
        <v>4.101837158203125</v>
      </c>
      <c r="D34" s="48">
        <v>-0.25316470861434937</v>
      </c>
      <c r="N34" s="53"/>
      <c r="O34" s="53" t="s">
        <v>2</v>
      </c>
      <c r="P34" s="53" t="s">
        <v>7</v>
      </c>
    </row>
    <row r="35" spans="1:16">
      <c r="A35" s="49" t="s">
        <v>8</v>
      </c>
      <c r="B35" s="50">
        <v>2011</v>
      </c>
      <c r="C35" s="48">
        <v>4.2030305862426758</v>
      </c>
      <c r="D35" s="48">
        <v>-0.26043832302093506</v>
      </c>
      <c r="N35" s="2" t="s">
        <v>2</v>
      </c>
      <c r="O35" s="2">
        <v>1</v>
      </c>
    </row>
    <row r="36" spans="1:16" ht="15.75" thickBot="1">
      <c r="A36" s="49" t="s">
        <v>8</v>
      </c>
      <c r="B36" s="50">
        <v>2012</v>
      </c>
      <c r="C36" s="48">
        <v>4.2544455528259277</v>
      </c>
      <c r="D36" s="48">
        <v>-0.27456489205360413</v>
      </c>
      <c r="N36" s="51" t="s">
        <v>7</v>
      </c>
      <c r="O36" s="52">
        <v>-0.47557548741365163</v>
      </c>
      <c r="P36" s="51">
        <v>1</v>
      </c>
    </row>
    <row r="37" spans="1:16">
      <c r="A37" s="49" t="s">
        <v>8</v>
      </c>
      <c r="B37" s="50">
        <v>2013</v>
      </c>
      <c r="C37" s="48">
        <v>4.3489208221435547</v>
      </c>
      <c r="D37" s="48">
        <v>-0.2596762478351593</v>
      </c>
    </row>
    <row r="38" spans="1:16">
      <c r="A38" s="49" t="s">
        <v>8</v>
      </c>
      <c r="B38" s="50">
        <v>2014</v>
      </c>
      <c r="C38" s="48">
        <v>4.2875080108642578</v>
      </c>
      <c r="D38" s="48">
        <v>-0.23858177661895752</v>
      </c>
    </row>
    <row r="39" spans="1:16">
      <c r="A39" s="49" t="s">
        <v>8</v>
      </c>
      <c r="B39" s="50">
        <v>2015</v>
      </c>
      <c r="C39" s="48">
        <v>4.1219406127929688</v>
      </c>
      <c r="D39" s="48">
        <v>-0.21042811870574951</v>
      </c>
    </row>
    <row r="40" spans="1:16">
      <c r="A40" s="49" t="s">
        <v>8</v>
      </c>
      <c r="B40" s="50">
        <v>2016</v>
      </c>
      <c r="C40" s="48">
        <v>4.4483861923217773</v>
      </c>
      <c r="D40" s="48">
        <v>-0.25481438636779785</v>
      </c>
    </row>
    <row r="41" spans="1:16">
      <c r="A41" s="49" t="s">
        <v>8</v>
      </c>
      <c r="B41" s="50">
        <v>2017</v>
      </c>
      <c r="C41" s="48">
        <v>4.4507746696472168</v>
      </c>
      <c r="D41" s="48">
        <v>-0.2495434433221817</v>
      </c>
    </row>
    <row r="42" spans="1:16">
      <c r="A42" s="49" t="s">
        <v>8</v>
      </c>
      <c r="B42" s="50">
        <v>2018</v>
      </c>
      <c r="C42" s="48">
        <v>4.6590971946716309</v>
      </c>
      <c r="D42" s="48">
        <v>-0.23838350176811218</v>
      </c>
    </row>
    <row r="43" spans="1:16">
      <c r="A43" s="49" t="s">
        <v>8</v>
      </c>
      <c r="B43" s="50">
        <v>2019</v>
      </c>
      <c r="C43" s="48">
        <v>4.8918356895446777</v>
      </c>
      <c r="D43" s="48">
        <v>-0.26528984308242798</v>
      </c>
    </row>
    <row r="44" spans="1:16">
      <c r="A44" s="49" t="s">
        <v>37</v>
      </c>
      <c r="B44" s="50">
        <v>2006</v>
      </c>
      <c r="C44" s="48">
        <v>4.963742733001709</v>
      </c>
      <c r="D44" s="48">
        <v>-0.31214404106140137</v>
      </c>
    </row>
    <row r="45" spans="1:16">
      <c r="A45" s="49" t="s">
        <v>37</v>
      </c>
      <c r="B45" s="50">
        <v>2007</v>
      </c>
      <c r="C45" s="48">
        <v>5.222867488861084</v>
      </c>
      <c r="D45" s="48">
        <v>-0.28935009241104126</v>
      </c>
    </row>
    <row r="46" spans="1:16">
      <c r="A46" s="49" t="s">
        <v>37</v>
      </c>
      <c r="B46" s="50">
        <v>2008</v>
      </c>
      <c r="C46" s="48">
        <v>5.6187539100646973</v>
      </c>
      <c r="D46" s="48">
        <v>-0.31063604354858398</v>
      </c>
    </row>
    <row r="47" spans="1:16">
      <c r="A47" s="49" t="s">
        <v>37</v>
      </c>
      <c r="B47" s="50">
        <v>2009</v>
      </c>
      <c r="C47" s="48">
        <v>5.1582279205322266</v>
      </c>
      <c r="D47" s="48">
        <v>-0.28898179531097412</v>
      </c>
    </row>
    <row r="48" spans="1:16">
      <c r="A48" s="49" t="s">
        <v>37</v>
      </c>
      <c r="B48" s="50">
        <v>2010</v>
      </c>
      <c r="C48" s="48">
        <v>5.3847732543945313</v>
      </c>
      <c r="D48" s="48">
        <v>-0.30197861790657043</v>
      </c>
    </row>
    <row r="49" spans="1:4">
      <c r="A49" s="49" t="s">
        <v>37</v>
      </c>
      <c r="B49" s="50">
        <v>2011</v>
      </c>
      <c r="C49" s="48">
        <v>5.3887662887573242</v>
      </c>
      <c r="D49" s="48">
        <v>-0.28445571660995483</v>
      </c>
    </row>
    <row r="50" spans="1:4">
      <c r="A50" s="49" t="s">
        <v>37</v>
      </c>
      <c r="B50" s="50">
        <v>2012</v>
      </c>
      <c r="C50" s="48">
        <v>5.6207356452941895</v>
      </c>
      <c r="D50" s="48">
        <v>-0.29825288057327271</v>
      </c>
    </row>
    <row r="51" spans="1:4">
      <c r="A51" s="49" t="s">
        <v>37</v>
      </c>
      <c r="B51" s="50">
        <v>2013</v>
      </c>
      <c r="C51" s="48">
        <v>5.537177562713623</v>
      </c>
      <c r="D51" s="48">
        <v>-0.29497125744819641</v>
      </c>
    </row>
    <row r="52" spans="1:4">
      <c r="A52" s="49" t="s">
        <v>37</v>
      </c>
      <c r="B52" s="50">
        <v>2014</v>
      </c>
      <c r="C52" s="48">
        <v>6.0369768142700195</v>
      </c>
      <c r="D52" s="48">
        <v>-0.27019765973091125</v>
      </c>
    </row>
    <row r="53" spans="1:4">
      <c r="A53" s="49" t="s">
        <v>37</v>
      </c>
      <c r="B53" s="50">
        <v>2015</v>
      </c>
      <c r="C53" s="48">
        <v>5.9955387115478516</v>
      </c>
      <c r="D53" s="48">
        <v>-0.17669197916984558</v>
      </c>
    </row>
    <row r="54" spans="1:4">
      <c r="A54" s="49" t="s">
        <v>37</v>
      </c>
      <c r="B54" s="50">
        <v>2016</v>
      </c>
      <c r="C54" s="48">
        <v>5.8549456596374512</v>
      </c>
      <c r="D54" s="48">
        <v>-0.18687869608402252</v>
      </c>
    </row>
    <row r="55" spans="1:4">
      <c r="A55" s="49" t="s">
        <v>37</v>
      </c>
      <c r="B55" s="50">
        <v>2017</v>
      </c>
      <c r="C55" s="48">
        <v>5.5787429809570313</v>
      </c>
      <c r="D55" s="48">
        <v>-0.15059798955917358</v>
      </c>
    </row>
    <row r="56" spans="1:4">
      <c r="A56" s="49" t="s">
        <v>37</v>
      </c>
      <c r="B56" s="50">
        <v>2018</v>
      </c>
      <c r="C56" s="48">
        <v>5.5135002136230469</v>
      </c>
      <c r="D56" s="48">
        <v>-0.15297549962997437</v>
      </c>
    </row>
    <row r="57" spans="1:4">
      <c r="A57" s="49" t="s">
        <v>37</v>
      </c>
      <c r="B57" s="50">
        <v>2019</v>
      </c>
      <c r="C57" s="48">
        <v>5.440523624420166</v>
      </c>
      <c r="D57" s="48">
        <v>-0.1219959631562233</v>
      </c>
    </row>
    <row r="67" spans="1:2">
      <c r="A67" s="48"/>
      <c r="B67" s="48"/>
    </row>
    <row r="68" spans="1:2">
      <c r="A68" s="48"/>
      <c r="B68" s="48"/>
    </row>
    <row r="69" spans="1:2">
      <c r="A69" s="48"/>
      <c r="B69" s="48"/>
    </row>
    <row r="70" spans="1:2">
      <c r="A70" s="48"/>
      <c r="B70" s="48"/>
    </row>
    <row r="71" spans="1:2">
      <c r="A71" s="48"/>
      <c r="B71" s="49"/>
    </row>
    <row r="72" spans="1:2">
      <c r="A72" s="48"/>
      <c r="B72" s="48"/>
    </row>
    <row r="73" spans="1:2">
      <c r="A73" s="48"/>
      <c r="B73" s="48"/>
    </row>
    <row r="74" spans="1:2">
      <c r="A74" s="48"/>
      <c r="B74" s="48"/>
    </row>
    <row r="75" spans="1:2">
      <c r="A75" s="48"/>
      <c r="B75" s="48"/>
    </row>
    <row r="76" spans="1:2">
      <c r="A76" s="48"/>
      <c r="B76" s="48"/>
    </row>
    <row r="77" spans="1:2">
      <c r="A77" s="48"/>
      <c r="B77" s="48"/>
    </row>
    <row r="78" spans="1:2">
      <c r="A78" s="48"/>
      <c r="B78" s="48"/>
    </row>
    <row r="79" spans="1:2">
      <c r="A79" s="48"/>
      <c r="B79" s="48"/>
    </row>
    <row r="80" spans="1:2">
      <c r="A80" s="48"/>
      <c r="B80" s="48"/>
    </row>
    <row r="81" spans="1:2">
      <c r="A81" s="48"/>
      <c r="B81" s="48"/>
    </row>
    <row r="82" spans="1:2">
      <c r="A82" s="48"/>
      <c r="B82" s="48"/>
    </row>
    <row r="83" spans="1:2">
      <c r="A83" s="48"/>
      <c r="B83" s="48"/>
    </row>
    <row r="84" spans="1:2">
      <c r="A84" s="48"/>
      <c r="B84" s="48"/>
    </row>
    <row r="85" spans="1:2">
      <c r="A85" s="48"/>
      <c r="B85" s="48"/>
    </row>
    <row r="86" spans="1:2">
      <c r="A86" s="48"/>
      <c r="B86" s="48"/>
    </row>
    <row r="87" spans="1:2">
      <c r="A87" s="48"/>
      <c r="B87" s="48"/>
    </row>
    <row r="88" spans="1:2">
      <c r="A88" s="48"/>
      <c r="B88" s="48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A72B-D3D1-466C-8DD8-8AA9F680E5A1}">
  <dimension ref="A1:S79"/>
  <sheetViews>
    <sheetView tabSelected="1" zoomScale="46" workbookViewId="0">
      <selection activeCell="V32" sqref="V32"/>
    </sheetView>
  </sheetViews>
  <sheetFormatPr defaultColWidth="12.5703125" defaultRowHeight="15.75"/>
  <cols>
    <col min="1" max="1" width="14.28515625" style="60" bestFit="1" customWidth="1"/>
    <col min="2" max="2" width="12.5703125" style="60"/>
    <col min="3" max="3" width="11.42578125" style="60" bestFit="1" customWidth="1"/>
    <col min="4" max="4" width="31" style="60" bestFit="1" customWidth="1"/>
    <col min="5" max="16384" width="12.5703125" style="60"/>
  </cols>
  <sheetData>
    <row r="1" spans="1:19">
      <c r="A1" s="63" t="s">
        <v>0</v>
      </c>
      <c r="B1" s="63" t="s">
        <v>1</v>
      </c>
      <c r="C1" s="62" t="s">
        <v>2</v>
      </c>
      <c r="D1" s="62" t="s">
        <v>5</v>
      </c>
    </row>
    <row r="2" spans="1:19" ht="18">
      <c r="A2" s="63" t="s">
        <v>9</v>
      </c>
      <c r="B2" s="61">
        <v>2006</v>
      </c>
      <c r="C2" s="62">
        <v>4.2893109321594238</v>
      </c>
      <c r="D2" s="62">
        <v>63.840000152587891</v>
      </c>
      <c r="I2" s="68" t="s">
        <v>75</v>
      </c>
    </row>
    <row r="3" spans="1:19">
      <c r="A3" s="63" t="s">
        <v>9</v>
      </c>
      <c r="B3" s="61">
        <v>2007</v>
      </c>
      <c r="C3" s="62">
        <v>4.8815155029296875</v>
      </c>
      <c r="D3" s="62">
        <v>64.080001831054688</v>
      </c>
    </row>
    <row r="4" spans="1:19">
      <c r="A4" s="63" t="s">
        <v>9</v>
      </c>
      <c r="B4" s="61">
        <v>2008</v>
      </c>
      <c r="C4" s="62">
        <v>4.6519722938537598</v>
      </c>
      <c r="D4" s="62">
        <v>64.319999694824219</v>
      </c>
    </row>
    <row r="5" spans="1:19">
      <c r="A5" s="63" t="s">
        <v>9</v>
      </c>
      <c r="B5" s="61">
        <v>2009</v>
      </c>
      <c r="C5" s="62">
        <v>4.177581787109375</v>
      </c>
      <c r="D5" s="62">
        <v>64.55999755859375</v>
      </c>
    </row>
    <row r="6" spans="1:19">
      <c r="A6" s="63" t="s">
        <v>9</v>
      </c>
      <c r="B6" s="61">
        <v>2010</v>
      </c>
      <c r="C6" s="62">
        <v>4.3678112030029297</v>
      </c>
      <c r="D6" s="62">
        <v>64.800003051757813</v>
      </c>
    </row>
    <row r="7" spans="1:19">
      <c r="A7" s="63" t="s">
        <v>9</v>
      </c>
      <c r="B7" s="61">
        <v>2011</v>
      </c>
      <c r="C7" s="62">
        <v>4.2604913711547852</v>
      </c>
      <c r="D7" s="62">
        <v>65.040000915527344</v>
      </c>
    </row>
    <row r="8" spans="1:19">
      <c r="A8" s="63" t="s">
        <v>9</v>
      </c>
      <c r="B8" s="61">
        <v>2012</v>
      </c>
      <c r="C8" s="62">
        <v>4.3197116851806641</v>
      </c>
      <c r="D8" s="62">
        <v>65.279998779296875</v>
      </c>
      <c r="H8" s="67"/>
    </row>
    <row r="9" spans="1:19">
      <c r="A9" s="63" t="s">
        <v>9</v>
      </c>
      <c r="B9" s="61">
        <v>2013</v>
      </c>
      <c r="C9" s="62">
        <v>4.277191162109375</v>
      </c>
      <c r="D9" s="62">
        <v>65.519996643066406</v>
      </c>
    </row>
    <row r="10" spans="1:19">
      <c r="A10" s="63" t="s">
        <v>9</v>
      </c>
      <c r="B10" s="61">
        <v>2014</v>
      </c>
      <c r="C10" s="62">
        <v>4.4530830383300781</v>
      </c>
      <c r="D10" s="62">
        <v>65.760002136230469</v>
      </c>
      <c r="H10" s="67" t="s">
        <v>10</v>
      </c>
      <c r="M10" s="67" t="s">
        <v>70</v>
      </c>
      <c r="R10" s="67" t="s">
        <v>66</v>
      </c>
    </row>
    <row r="11" spans="1:19" ht="16.5" thickBot="1">
      <c r="A11" s="63" t="s">
        <v>9</v>
      </c>
      <c r="B11" s="61">
        <v>2015</v>
      </c>
      <c r="C11" s="62">
        <v>4.3483195304870605</v>
      </c>
      <c r="D11" s="62">
        <v>66</v>
      </c>
    </row>
    <row r="12" spans="1:19">
      <c r="A12" s="63" t="s">
        <v>9</v>
      </c>
      <c r="B12" s="61">
        <v>2016</v>
      </c>
      <c r="C12" s="62">
        <v>4.3254718780517578</v>
      </c>
      <c r="D12" s="62">
        <v>66.275001525878906</v>
      </c>
      <c r="G12" s="65"/>
      <c r="H12" s="65" t="s">
        <v>76</v>
      </c>
      <c r="I12" s="65" t="s">
        <v>77</v>
      </c>
      <c r="L12" s="65"/>
      <c r="M12" s="65" t="s">
        <v>76</v>
      </c>
      <c r="N12" s="65" t="s">
        <v>78</v>
      </c>
      <c r="Q12" s="65"/>
      <c r="R12" s="65" t="s">
        <v>76</v>
      </c>
      <c r="S12" s="65" t="s">
        <v>78</v>
      </c>
    </row>
    <row r="13" spans="1:19">
      <c r="A13" s="63" t="s">
        <v>9</v>
      </c>
      <c r="B13" s="61">
        <v>2017</v>
      </c>
      <c r="C13" s="62">
        <v>4.2877364158630371</v>
      </c>
      <c r="D13" s="62">
        <v>66.550003051757813</v>
      </c>
      <c r="G13" s="60" t="s">
        <v>76</v>
      </c>
      <c r="H13" s="60">
        <v>1</v>
      </c>
      <c r="L13" s="60" t="s">
        <v>76</v>
      </c>
      <c r="M13" s="60">
        <v>1</v>
      </c>
      <c r="Q13" s="60" t="s">
        <v>76</v>
      </c>
      <c r="R13" s="60">
        <v>1</v>
      </c>
    </row>
    <row r="14" spans="1:19" ht="16.5" thickBot="1">
      <c r="A14" s="63" t="s">
        <v>9</v>
      </c>
      <c r="B14" s="61">
        <v>2018</v>
      </c>
      <c r="C14" s="62">
        <v>5.0624485015869141</v>
      </c>
      <c r="D14" s="62">
        <v>66.824996948242188</v>
      </c>
      <c r="G14" s="64" t="s">
        <v>77</v>
      </c>
      <c r="H14" s="64">
        <v>0.40314238670155578</v>
      </c>
      <c r="I14" s="64">
        <v>1</v>
      </c>
      <c r="L14" s="64" t="s">
        <v>78</v>
      </c>
      <c r="M14" s="64">
        <v>0.73504100616701218</v>
      </c>
      <c r="N14" s="64">
        <v>1</v>
      </c>
      <c r="Q14" s="64" t="s">
        <v>78</v>
      </c>
      <c r="R14" s="64">
        <v>0.913667250640252</v>
      </c>
      <c r="S14" s="64">
        <v>1</v>
      </c>
    </row>
    <row r="15" spans="1:19">
      <c r="A15" s="63" t="s">
        <v>9</v>
      </c>
      <c r="B15" s="61">
        <v>2019</v>
      </c>
      <c r="C15" s="62">
        <v>5.4880867004394531</v>
      </c>
      <c r="D15" s="62">
        <v>67.099998474121094</v>
      </c>
    </row>
    <row r="16" spans="1:19">
      <c r="A16" s="63" t="s">
        <v>30</v>
      </c>
      <c r="B16" s="61">
        <v>2006</v>
      </c>
      <c r="C16" s="62">
        <v>4.7278709411621094</v>
      </c>
      <c r="D16" s="62">
        <v>60.580001831054688</v>
      </c>
    </row>
    <row r="17" spans="1:4">
      <c r="A17" s="63" t="s">
        <v>30</v>
      </c>
      <c r="B17" s="61">
        <v>2007</v>
      </c>
      <c r="C17" s="62">
        <v>4.5681595802307129</v>
      </c>
      <c r="D17" s="62">
        <v>60.860000610351563</v>
      </c>
    </row>
    <row r="18" spans="1:4">
      <c r="A18" s="63" t="s">
        <v>30</v>
      </c>
      <c r="B18" s="61">
        <v>2008</v>
      </c>
      <c r="C18" s="62">
        <v>4.8171892166137695</v>
      </c>
      <c r="D18" s="62">
        <v>61.139999389648438</v>
      </c>
    </row>
    <row r="19" spans="1:4">
      <c r="A19" s="63" t="s">
        <v>30</v>
      </c>
      <c r="B19" s="61">
        <v>2009</v>
      </c>
      <c r="C19" s="62">
        <v>4.5737252235412598</v>
      </c>
      <c r="D19" s="62">
        <v>61.419998168945313</v>
      </c>
    </row>
    <row r="20" spans="1:4">
      <c r="A20" s="63" t="s">
        <v>30</v>
      </c>
      <c r="B20" s="61">
        <v>2010</v>
      </c>
      <c r="C20" s="62">
        <v>4.2186107635498047</v>
      </c>
      <c r="D20" s="62">
        <v>61.700000762939453</v>
      </c>
    </row>
    <row r="21" spans="1:4">
      <c r="A21" s="63" t="s">
        <v>30</v>
      </c>
      <c r="B21" s="61">
        <v>2011</v>
      </c>
      <c r="C21" s="62">
        <v>4.6804695129394531</v>
      </c>
      <c r="D21" s="62">
        <v>61.979999542236328</v>
      </c>
    </row>
    <row r="22" spans="1:4">
      <c r="A22" s="63" t="s">
        <v>30</v>
      </c>
      <c r="B22" s="61">
        <v>2012</v>
      </c>
      <c r="C22" s="62">
        <v>4.9107718467712402</v>
      </c>
      <c r="D22" s="62">
        <v>62.259998321533203</v>
      </c>
    </row>
    <row r="23" spans="1:4">
      <c r="A23" s="63" t="s">
        <v>30</v>
      </c>
      <c r="B23" s="61">
        <v>2013</v>
      </c>
      <c r="C23" s="62">
        <v>5.4811782836914063</v>
      </c>
      <c r="D23" s="62">
        <v>62.540000915527344</v>
      </c>
    </row>
    <row r="24" spans="1:4">
      <c r="A24" s="63" t="s">
        <v>30</v>
      </c>
      <c r="B24" s="61">
        <v>2014</v>
      </c>
      <c r="C24" s="62">
        <v>5.2515301704406738</v>
      </c>
      <c r="D24" s="62">
        <v>62.819999694824219</v>
      </c>
    </row>
    <row r="25" spans="1:4">
      <c r="A25" s="63" t="s">
        <v>30</v>
      </c>
      <c r="B25" s="61">
        <v>2015</v>
      </c>
      <c r="C25" s="62">
        <v>5.1467747688293457</v>
      </c>
      <c r="D25" s="62">
        <v>63.099998474121094</v>
      </c>
    </row>
    <row r="26" spans="1:4">
      <c r="A26" s="63" t="s">
        <v>30</v>
      </c>
      <c r="B26" s="61">
        <v>2016</v>
      </c>
      <c r="C26" s="62">
        <v>5.3038949966430664</v>
      </c>
      <c r="D26" s="62">
        <v>63.224998474121094</v>
      </c>
    </row>
    <row r="27" spans="1:4">
      <c r="A27" s="63" t="s">
        <v>30</v>
      </c>
      <c r="B27" s="61">
        <v>2017</v>
      </c>
      <c r="C27" s="62">
        <v>5.1522793769836426</v>
      </c>
      <c r="D27" s="62">
        <v>63.349998474121094</v>
      </c>
    </row>
    <row r="28" spans="1:4">
      <c r="A28" s="63" t="s">
        <v>30</v>
      </c>
      <c r="B28" s="61">
        <v>2018</v>
      </c>
      <c r="C28" s="62">
        <v>5.1679954528808594</v>
      </c>
      <c r="D28" s="62">
        <v>63.474998474121094</v>
      </c>
    </row>
    <row r="29" spans="1:4">
      <c r="A29" s="63" t="s">
        <v>30</v>
      </c>
      <c r="B29" s="61">
        <v>2019</v>
      </c>
      <c r="C29" s="62">
        <v>5.1733894348144531</v>
      </c>
      <c r="D29" s="62">
        <v>63.599998474121094</v>
      </c>
    </row>
    <row r="30" spans="1:4">
      <c r="A30" s="63" t="s">
        <v>8</v>
      </c>
      <c r="B30" s="61">
        <v>2006</v>
      </c>
      <c r="C30" s="62">
        <v>3.6751084327697754</v>
      </c>
      <c r="D30" s="62">
        <v>63.299999237060547</v>
      </c>
    </row>
    <row r="31" spans="1:4">
      <c r="A31" s="63" t="s">
        <v>8</v>
      </c>
      <c r="B31" s="61">
        <v>2007</v>
      </c>
      <c r="C31" s="62">
        <v>3.7071945667266846</v>
      </c>
      <c r="D31" s="62">
        <v>63.400001525878906</v>
      </c>
    </row>
    <row r="32" spans="1:4">
      <c r="A32" s="63" t="s">
        <v>8</v>
      </c>
      <c r="B32" s="61">
        <v>2008</v>
      </c>
      <c r="C32" s="62">
        <v>4.156090259552002</v>
      </c>
      <c r="D32" s="62">
        <v>63.5</v>
      </c>
    </row>
    <row r="33" spans="1:19">
      <c r="A33" s="63" t="s">
        <v>8</v>
      </c>
      <c r="B33" s="61">
        <v>2009</v>
      </c>
      <c r="C33" s="62">
        <v>3.8006391525268555</v>
      </c>
      <c r="D33" s="62">
        <v>63.599998474121094</v>
      </c>
    </row>
    <row r="34" spans="1:19">
      <c r="A34" s="63" t="s">
        <v>8</v>
      </c>
      <c r="B34" s="61">
        <v>2010</v>
      </c>
      <c r="C34" s="62">
        <v>4.101837158203125</v>
      </c>
      <c r="D34" s="62">
        <v>63.700000762939453</v>
      </c>
    </row>
    <row r="35" spans="1:19">
      <c r="A35" s="63" t="s">
        <v>8</v>
      </c>
      <c r="B35" s="61">
        <v>2011</v>
      </c>
      <c r="C35" s="62">
        <v>4.2030305862426758</v>
      </c>
      <c r="D35" s="62">
        <v>63.799999237060547</v>
      </c>
      <c r="L35" s="67" t="s">
        <v>67</v>
      </c>
      <c r="R35" s="66" t="s">
        <v>79</v>
      </c>
    </row>
    <row r="36" spans="1:19" ht="16.5" thickBot="1">
      <c r="A36" s="63" t="s">
        <v>8</v>
      </c>
      <c r="B36" s="61">
        <v>2012</v>
      </c>
      <c r="C36" s="62">
        <v>4.2544455528259277</v>
      </c>
      <c r="D36" s="62">
        <v>63.900001525878906</v>
      </c>
    </row>
    <row r="37" spans="1:19">
      <c r="A37" s="63" t="s">
        <v>8</v>
      </c>
      <c r="B37" s="61">
        <v>2013</v>
      </c>
      <c r="C37" s="62">
        <v>4.3489208221435547</v>
      </c>
      <c r="D37" s="62">
        <v>64</v>
      </c>
      <c r="K37" s="65"/>
      <c r="L37" s="65" t="s">
        <v>80</v>
      </c>
      <c r="M37" s="65" t="s">
        <v>78</v>
      </c>
      <c r="Q37" s="65"/>
      <c r="R37" s="65" t="s">
        <v>2</v>
      </c>
      <c r="S37" s="65" t="s">
        <v>5</v>
      </c>
    </row>
    <row r="38" spans="1:19">
      <c r="A38" s="63" t="s">
        <v>8</v>
      </c>
      <c r="B38" s="61">
        <v>2014</v>
      </c>
      <c r="C38" s="62">
        <v>4.2875080108642578</v>
      </c>
      <c r="D38" s="62">
        <v>64.099998474121094</v>
      </c>
      <c r="K38" s="60" t="s">
        <v>76</v>
      </c>
      <c r="L38" s="60">
        <v>1</v>
      </c>
      <c r="Q38" s="60" t="s">
        <v>2</v>
      </c>
      <c r="R38" s="60">
        <v>1</v>
      </c>
    </row>
    <row r="39" spans="1:19" ht="16.5" thickBot="1">
      <c r="A39" s="63" t="s">
        <v>8</v>
      </c>
      <c r="B39" s="61">
        <v>2015</v>
      </c>
      <c r="C39" s="62">
        <v>4.1219406127929688</v>
      </c>
      <c r="D39" s="62">
        <v>64.199996948242188</v>
      </c>
      <c r="K39" s="64" t="s">
        <v>78</v>
      </c>
      <c r="L39" s="64">
        <v>0.5898037857882551</v>
      </c>
      <c r="M39" s="64">
        <v>1</v>
      </c>
      <c r="Q39" s="64" t="s">
        <v>5</v>
      </c>
      <c r="R39" s="64">
        <v>-0.35460476881520248</v>
      </c>
      <c r="S39" s="64">
        <v>1</v>
      </c>
    </row>
    <row r="40" spans="1:19">
      <c r="A40" s="63" t="s">
        <v>8</v>
      </c>
      <c r="B40" s="61">
        <v>2016</v>
      </c>
      <c r="C40" s="62">
        <v>4.4483861923217773</v>
      </c>
      <c r="D40" s="62">
        <v>64.324996948242188</v>
      </c>
    </row>
    <row r="41" spans="1:19">
      <c r="A41" s="63" t="s">
        <v>8</v>
      </c>
      <c r="B41" s="61">
        <v>2017</v>
      </c>
      <c r="C41" s="62">
        <v>4.4507746696472168</v>
      </c>
      <c r="D41" s="62">
        <v>64.449996948242188</v>
      </c>
    </row>
    <row r="42" spans="1:19">
      <c r="A42" s="63" t="s">
        <v>8</v>
      </c>
      <c r="B42" s="61">
        <v>2018</v>
      </c>
      <c r="C42" s="62">
        <v>4.6590971946716309</v>
      </c>
      <c r="D42" s="62">
        <v>64.574996948242188</v>
      </c>
    </row>
    <row r="43" spans="1:19">
      <c r="A43" s="63" t="s">
        <v>8</v>
      </c>
      <c r="B43" s="61">
        <v>2019</v>
      </c>
      <c r="C43" s="62">
        <v>4.8918356895446777</v>
      </c>
      <c r="D43" s="62">
        <v>64.699996948242188</v>
      </c>
    </row>
    <row r="44" spans="1:19">
      <c r="A44" s="63" t="s">
        <v>37</v>
      </c>
      <c r="B44" s="61">
        <v>2006</v>
      </c>
      <c r="C44" s="62">
        <v>4.963742733001709</v>
      </c>
      <c r="D44" s="62">
        <v>58.740001678466797</v>
      </c>
    </row>
    <row r="45" spans="1:19">
      <c r="A45" s="63" t="s">
        <v>37</v>
      </c>
      <c r="B45" s="61">
        <v>2007</v>
      </c>
      <c r="C45" s="62">
        <v>5.222867488861084</v>
      </c>
      <c r="D45" s="62">
        <v>59.180000305175781</v>
      </c>
    </row>
    <row r="46" spans="1:19">
      <c r="A46" s="63" t="s">
        <v>37</v>
      </c>
      <c r="B46" s="61">
        <v>2008</v>
      </c>
      <c r="C46" s="62">
        <v>5.6187539100646973</v>
      </c>
      <c r="D46" s="62">
        <v>59.619998931884766</v>
      </c>
    </row>
    <row r="47" spans="1:19">
      <c r="A47" s="63" t="s">
        <v>37</v>
      </c>
      <c r="B47" s="61">
        <v>2009</v>
      </c>
      <c r="C47" s="62">
        <v>5.1582279205322266</v>
      </c>
      <c r="D47" s="62">
        <v>60.060001373291016</v>
      </c>
    </row>
    <row r="48" spans="1:19">
      <c r="A48" s="63" t="s">
        <v>37</v>
      </c>
      <c r="B48" s="61">
        <v>2010</v>
      </c>
      <c r="C48" s="62">
        <v>5.3847732543945313</v>
      </c>
      <c r="D48" s="62">
        <v>60.5</v>
      </c>
    </row>
    <row r="49" spans="1:4">
      <c r="A49" s="63" t="s">
        <v>37</v>
      </c>
      <c r="B49" s="61">
        <v>2011</v>
      </c>
      <c r="C49" s="62">
        <v>5.3887662887573242</v>
      </c>
      <c r="D49" s="62">
        <v>60.939998626708984</v>
      </c>
    </row>
    <row r="50" spans="1:4">
      <c r="A50" s="63" t="s">
        <v>37</v>
      </c>
      <c r="B50" s="61">
        <v>2012</v>
      </c>
      <c r="C50" s="62">
        <v>5.6207356452941895</v>
      </c>
      <c r="D50" s="62">
        <v>61.380001068115234</v>
      </c>
    </row>
    <row r="51" spans="1:4">
      <c r="A51" s="63" t="s">
        <v>37</v>
      </c>
      <c r="B51" s="61">
        <v>2013</v>
      </c>
      <c r="C51" s="62">
        <v>5.537177562713623</v>
      </c>
      <c r="D51" s="62">
        <v>61.819999694824219</v>
      </c>
    </row>
    <row r="52" spans="1:4">
      <c r="A52" s="63" t="s">
        <v>37</v>
      </c>
      <c r="B52" s="61">
        <v>2014</v>
      </c>
      <c r="C52" s="62">
        <v>6.0369768142700195</v>
      </c>
      <c r="D52" s="62">
        <v>62.259998321533203</v>
      </c>
    </row>
    <row r="53" spans="1:4">
      <c r="A53" s="63" t="s">
        <v>37</v>
      </c>
      <c r="B53" s="61">
        <v>2015</v>
      </c>
      <c r="C53" s="62">
        <v>5.9955387115478516</v>
      </c>
      <c r="D53" s="62">
        <v>62.700000762939453</v>
      </c>
    </row>
    <row r="54" spans="1:4">
      <c r="A54" s="63" t="s">
        <v>37</v>
      </c>
      <c r="B54" s="61">
        <v>2016</v>
      </c>
      <c r="C54" s="62">
        <v>5.8549456596374512</v>
      </c>
      <c r="D54" s="62">
        <v>63.075000762939453</v>
      </c>
    </row>
    <row r="55" spans="1:4">
      <c r="A55" s="63" t="s">
        <v>37</v>
      </c>
      <c r="B55" s="61">
        <v>2017</v>
      </c>
      <c r="C55" s="62">
        <v>5.5787429809570313</v>
      </c>
      <c r="D55" s="62">
        <v>63.450000762939453</v>
      </c>
    </row>
    <row r="56" spans="1:4">
      <c r="A56" s="63" t="s">
        <v>37</v>
      </c>
      <c r="B56" s="61">
        <v>2018</v>
      </c>
      <c r="C56" s="62">
        <v>5.5135002136230469</v>
      </c>
      <c r="D56" s="62">
        <v>63.825000762939453</v>
      </c>
    </row>
    <row r="57" spans="1:4">
      <c r="A57" s="63" t="s">
        <v>37</v>
      </c>
      <c r="B57" s="61">
        <v>2019</v>
      </c>
      <c r="C57" s="62">
        <v>5.440523624420166</v>
      </c>
      <c r="D57" s="62">
        <v>64.199996948242188</v>
      </c>
    </row>
    <row r="58" spans="1:4">
      <c r="A58" s="48"/>
      <c r="B58" s="48"/>
    </row>
    <row r="59" spans="1:4">
      <c r="A59" s="48"/>
      <c r="B59" s="48"/>
    </row>
    <row r="60" spans="1:4">
      <c r="A60" s="48"/>
      <c r="B60" s="48"/>
    </row>
    <row r="61" spans="1:4">
      <c r="A61" s="48"/>
      <c r="B61" s="48"/>
    </row>
    <row r="62" spans="1:4">
      <c r="A62" s="48"/>
      <c r="B62" s="49"/>
    </row>
    <row r="63" spans="1:4">
      <c r="A63" s="48"/>
      <c r="B63" s="48"/>
    </row>
    <row r="64" spans="1:4">
      <c r="A64" s="48"/>
      <c r="B64" s="48"/>
    </row>
    <row r="65" spans="1:2">
      <c r="A65" s="48"/>
      <c r="B65" s="48"/>
    </row>
    <row r="66" spans="1:2">
      <c r="A66" s="48"/>
      <c r="B66" s="48"/>
    </row>
    <row r="67" spans="1:2">
      <c r="A67" s="48"/>
      <c r="B67" s="48"/>
    </row>
    <row r="68" spans="1:2">
      <c r="A68" s="48"/>
      <c r="B68" s="48"/>
    </row>
    <row r="69" spans="1:2">
      <c r="A69" s="48"/>
      <c r="B69" s="48"/>
    </row>
    <row r="70" spans="1:2">
      <c r="A70" s="48"/>
      <c r="B70" s="48"/>
    </row>
    <row r="71" spans="1:2">
      <c r="A71" s="48"/>
      <c r="B71" s="48"/>
    </row>
    <row r="72" spans="1:2">
      <c r="A72" s="48"/>
      <c r="B72" s="48"/>
    </row>
    <row r="73" spans="1:2">
      <c r="A73" s="48"/>
      <c r="B73" s="48"/>
    </row>
    <row r="74" spans="1:2">
      <c r="A74" s="48"/>
      <c r="B74" s="48"/>
    </row>
    <row r="75" spans="1:2">
      <c r="A75" s="48"/>
      <c r="B75" s="48"/>
    </row>
    <row r="76" spans="1:2">
      <c r="A76" s="48"/>
      <c r="B76" s="48"/>
    </row>
    <row r="77" spans="1:2">
      <c r="A77" s="48"/>
      <c r="B77" s="48"/>
    </row>
    <row r="78" spans="1:2">
      <c r="A78" s="48"/>
      <c r="B78" s="48"/>
    </row>
    <row r="79" spans="1:2">
      <c r="A79" s="48"/>
      <c r="B79" s="48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A206-5C02-4326-90B1-A1F9326F1EFE}">
  <dimension ref="A1:T79"/>
  <sheetViews>
    <sheetView zoomScale="65" workbookViewId="0">
      <selection activeCell="V15" sqref="V15"/>
    </sheetView>
  </sheetViews>
  <sheetFormatPr defaultRowHeight="15"/>
  <cols>
    <col min="1" max="1" width="7.42578125" customWidth="1"/>
    <col min="2" max="2" width="6.28515625" customWidth="1"/>
    <col min="3" max="3" width="8.5703125" customWidth="1"/>
    <col min="4" max="4" width="10.42578125" customWidth="1"/>
    <col min="5" max="5" width="6.42578125" customWidth="1"/>
    <col min="6" max="6" width="8.28515625" customWidth="1"/>
    <col min="7" max="7" width="8.5703125" customWidth="1"/>
    <col min="8" max="8" width="7" customWidth="1"/>
    <col min="9" max="9" width="10.28515625" customWidth="1"/>
    <col min="12" max="12" width="28.140625" bestFit="1" customWidth="1"/>
    <col min="13" max="13" width="12.42578125" bestFit="1" customWidth="1"/>
    <col min="14" max="14" width="14.7109375" bestFit="1" customWidth="1"/>
    <col min="15" max="16" width="12.42578125" bestFit="1" customWidth="1"/>
    <col min="17" max="17" width="13.7109375" bestFit="1" customWidth="1"/>
    <col min="18" max="18" width="12.42578125" bestFit="1" customWidth="1"/>
    <col min="19" max="19" width="13.140625" bestFit="1" customWidth="1"/>
    <col min="20" max="20" width="12.85546875" bestFit="1" customWidth="1"/>
  </cols>
  <sheetData>
    <row r="1" spans="1:20">
      <c r="A1" s="5" t="s">
        <v>0</v>
      </c>
      <c r="B1" s="5" t="s">
        <v>1</v>
      </c>
      <c r="C1" s="7" t="s">
        <v>2</v>
      </c>
      <c r="D1" s="2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/>
      <c r="L1" s="29" t="s">
        <v>81</v>
      </c>
    </row>
    <row r="2" spans="1:20" ht="15.75" thickBot="1">
      <c r="A2" s="5" t="s">
        <v>9</v>
      </c>
      <c r="B2" s="3">
        <v>2006</v>
      </c>
      <c r="C2" s="7">
        <v>4.2893109321594238</v>
      </c>
      <c r="D2">
        <v>2551.4354635845211</v>
      </c>
      <c r="E2" s="7">
        <v>0.6818767786026001</v>
      </c>
      <c r="F2" s="7">
        <v>63.840000152587891</v>
      </c>
      <c r="G2" s="7">
        <v>0.52019780874252319</v>
      </c>
      <c r="H2" s="7">
        <v>-0.23490116000175476</v>
      </c>
      <c r="I2" s="7"/>
    </row>
    <row r="3" spans="1:20">
      <c r="A3" s="5" t="s">
        <v>30</v>
      </c>
      <c r="B3" s="3">
        <v>2006</v>
      </c>
      <c r="C3" s="7">
        <v>4.7278709411621094</v>
      </c>
      <c r="D3">
        <v>3501.1648250060261</v>
      </c>
      <c r="E3" s="7">
        <v>0.85441488027572632</v>
      </c>
      <c r="F3" s="7">
        <v>60.580001831054688</v>
      </c>
      <c r="G3" s="7">
        <v>0.77152818441390991</v>
      </c>
      <c r="H3" s="7">
        <v>-0.2392495721578598</v>
      </c>
      <c r="I3" s="7"/>
      <c r="L3" s="19" t="s">
        <v>82</v>
      </c>
      <c r="M3" s="19"/>
    </row>
    <row r="4" spans="1:20">
      <c r="A4" s="5" t="s">
        <v>8</v>
      </c>
      <c r="B4" s="3">
        <v>2006</v>
      </c>
      <c r="C4" s="7">
        <v>3.6751084327697754</v>
      </c>
      <c r="D4">
        <v>2554.8125350391365</v>
      </c>
      <c r="E4" s="7">
        <v>0.64663594961166382</v>
      </c>
      <c r="F4" s="7">
        <v>63.299999237060547</v>
      </c>
      <c r="G4" s="7">
        <v>0.55259263515472412</v>
      </c>
      <c r="H4" s="7">
        <v>-0.27255910634994507</v>
      </c>
      <c r="I4" s="7"/>
      <c r="L4" t="s">
        <v>83</v>
      </c>
      <c r="M4">
        <v>0.93522468983320206</v>
      </c>
    </row>
    <row r="5" spans="1:20">
      <c r="A5" s="5" t="s">
        <v>37</v>
      </c>
      <c r="B5" s="3">
        <v>2006</v>
      </c>
      <c r="C5" s="7">
        <v>4.963742733001709</v>
      </c>
      <c r="D5">
        <v>7949.8968790137515</v>
      </c>
      <c r="E5" s="7">
        <v>0.89470738172531128</v>
      </c>
      <c r="F5" s="7">
        <v>58.740001678466797</v>
      </c>
      <c r="G5" s="7">
        <v>0.64338821172714233</v>
      </c>
      <c r="H5" s="7">
        <v>-0.31214404106140137</v>
      </c>
      <c r="I5" s="7"/>
      <c r="L5" t="s">
        <v>84</v>
      </c>
      <c r="M5" s="15">
        <v>0.87464522047360893</v>
      </c>
    </row>
    <row r="6" spans="1:20">
      <c r="A6" s="5" t="s">
        <v>9</v>
      </c>
      <c r="B6" s="3">
        <v>2007</v>
      </c>
      <c r="C6" s="7">
        <v>4.8815155029296875</v>
      </c>
      <c r="D6">
        <v>2919.3734936373035</v>
      </c>
      <c r="E6" s="7">
        <v>0.75964432954788208</v>
      </c>
      <c r="F6" s="7">
        <v>64.080001831054688</v>
      </c>
      <c r="G6" s="7">
        <v>0.60541075468063354</v>
      </c>
      <c r="H6" s="7">
        <v>-0.25497710704803467</v>
      </c>
      <c r="I6" s="7"/>
      <c r="L6" t="s">
        <v>85</v>
      </c>
      <c r="M6">
        <v>0.86210974252096984</v>
      </c>
    </row>
    <row r="7" spans="1:20">
      <c r="A7" s="5" t="s">
        <v>30</v>
      </c>
      <c r="B7" s="3">
        <v>2007</v>
      </c>
      <c r="C7" s="7">
        <v>4.5681595802307129</v>
      </c>
      <c r="D7">
        <v>4327.1136046884812</v>
      </c>
      <c r="E7" s="7">
        <v>0.75324678421020508</v>
      </c>
      <c r="F7" s="7">
        <v>60.860000610351563</v>
      </c>
      <c r="G7" s="7">
        <v>0.52204632759094238</v>
      </c>
      <c r="H7" s="7">
        <v>-0.21111249923706055</v>
      </c>
      <c r="I7" s="7"/>
      <c r="L7" t="s">
        <v>20</v>
      </c>
      <c r="M7" s="22">
        <v>0.22196246650391124</v>
      </c>
    </row>
    <row r="8" spans="1:20" ht="15.75" thickBot="1">
      <c r="A8" s="5" t="s">
        <v>8</v>
      </c>
      <c r="B8" s="3">
        <v>2007</v>
      </c>
      <c r="C8" s="7">
        <v>3.7071945667266846</v>
      </c>
      <c r="D8">
        <v>2891.1370233184598</v>
      </c>
      <c r="E8" s="7">
        <v>0.54836905002593994</v>
      </c>
      <c r="F8" s="7">
        <v>63.400001525878906</v>
      </c>
      <c r="G8" s="7">
        <v>0.46372252702713013</v>
      </c>
      <c r="H8" s="7">
        <v>-0.27222028374671936</v>
      </c>
      <c r="I8" s="7"/>
      <c r="L8" s="12" t="s">
        <v>86</v>
      </c>
      <c r="M8" s="12">
        <v>56</v>
      </c>
    </row>
    <row r="9" spans="1:20">
      <c r="A9" s="5" t="s">
        <v>37</v>
      </c>
      <c r="B9" s="3">
        <v>2007</v>
      </c>
      <c r="C9" s="7">
        <v>5.222867488861084</v>
      </c>
      <c r="D9">
        <v>8640.4058908334118</v>
      </c>
      <c r="E9" s="7">
        <v>0.88465636968612671</v>
      </c>
      <c r="F9" s="7">
        <v>59.180000305175781</v>
      </c>
      <c r="G9" s="7">
        <v>0.59256970882415771</v>
      </c>
      <c r="H9" s="7">
        <v>-0.28935009241104126</v>
      </c>
      <c r="I9" s="7"/>
    </row>
    <row r="10" spans="1:20" ht="15.75" thickBot="1">
      <c r="A10" s="5" t="s">
        <v>9</v>
      </c>
      <c r="B10" s="3">
        <v>2008</v>
      </c>
      <c r="C10" s="7">
        <v>4.6519722938537598</v>
      </c>
      <c r="D10">
        <v>3141.3319350077413</v>
      </c>
      <c r="E10" s="7">
        <v>0.70948553085327148</v>
      </c>
      <c r="F10" s="7">
        <v>64.319999694824219</v>
      </c>
      <c r="G10" s="7">
        <v>0.46215656399726868</v>
      </c>
      <c r="H10" s="7">
        <v>-0.21904514729976654</v>
      </c>
      <c r="I10" s="7"/>
      <c r="L10" t="s">
        <v>87</v>
      </c>
    </row>
    <row r="11" spans="1:20">
      <c r="A11" s="5" t="s">
        <v>30</v>
      </c>
      <c r="B11" s="3">
        <v>2008</v>
      </c>
      <c r="C11" s="7">
        <v>4.8171892166137695</v>
      </c>
      <c r="D11">
        <v>4693.0770796811566</v>
      </c>
      <c r="E11" s="7">
        <v>0.68426722288131714</v>
      </c>
      <c r="F11" s="7">
        <v>61.139999389648438</v>
      </c>
      <c r="G11" s="7">
        <v>0.60104328393936157</v>
      </c>
      <c r="H11" s="7">
        <v>-3.381616622209549E-2</v>
      </c>
      <c r="I11" s="7"/>
      <c r="L11" s="13"/>
      <c r="M11" s="13" t="s">
        <v>88</v>
      </c>
      <c r="N11" s="13" t="s">
        <v>89</v>
      </c>
      <c r="O11" s="13" t="s">
        <v>90</v>
      </c>
      <c r="P11" s="13" t="s">
        <v>91</v>
      </c>
      <c r="Q11" s="13" t="s">
        <v>92</v>
      </c>
    </row>
    <row r="12" spans="1:20">
      <c r="A12" s="5" t="s">
        <v>8</v>
      </c>
      <c r="B12" s="3">
        <v>2008</v>
      </c>
      <c r="C12" s="7">
        <v>4.156090259552002</v>
      </c>
      <c r="D12">
        <v>2970.1585828242805</v>
      </c>
      <c r="E12" s="7">
        <v>0.6075127124786377</v>
      </c>
      <c r="F12" s="7">
        <v>63.5</v>
      </c>
      <c r="G12" s="7">
        <v>0.61399739980697632</v>
      </c>
      <c r="H12" s="7">
        <v>-0.22981572151184082</v>
      </c>
      <c r="I12" s="7"/>
      <c r="L12" t="s">
        <v>93</v>
      </c>
      <c r="M12">
        <v>5</v>
      </c>
      <c r="N12">
        <v>17.187793153926915</v>
      </c>
      <c r="O12">
        <v>3.4375586307853832</v>
      </c>
      <c r="P12">
        <v>69.773583725977417</v>
      </c>
      <c r="Q12" s="28">
        <v>2.3706338272515776E-21</v>
      </c>
    </row>
    <row r="13" spans="1:20">
      <c r="A13" s="5" t="s">
        <v>37</v>
      </c>
      <c r="B13" s="3">
        <v>2008</v>
      </c>
      <c r="C13" s="7">
        <v>5.6187539100646973</v>
      </c>
      <c r="D13">
        <v>9093.7000771478979</v>
      </c>
      <c r="E13" s="7">
        <v>0.88231617212295532</v>
      </c>
      <c r="F13" s="7">
        <v>59.619998931884766</v>
      </c>
      <c r="G13" s="7">
        <v>0.64277827739715576</v>
      </c>
      <c r="H13" s="7">
        <v>-0.31063604354858398</v>
      </c>
      <c r="I13" s="7"/>
      <c r="L13" t="s">
        <v>94</v>
      </c>
      <c r="M13">
        <v>50</v>
      </c>
      <c r="N13">
        <v>2.4633668268249957</v>
      </c>
      <c r="O13">
        <v>4.9267336536499916E-2</v>
      </c>
    </row>
    <row r="14" spans="1:20" ht="15.75" thickBot="1">
      <c r="A14" s="5" t="s">
        <v>9</v>
      </c>
      <c r="B14" s="3">
        <v>2009</v>
      </c>
      <c r="C14" s="7">
        <v>4.177581787109375</v>
      </c>
      <c r="D14">
        <v>2716.974362804709</v>
      </c>
      <c r="E14" s="7">
        <v>0.68000692129135132</v>
      </c>
      <c r="F14" s="7">
        <v>64.55999755859375</v>
      </c>
      <c r="G14" s="7">
        <v>0.44141274690628052</v>
      </c>
      <c r="H14" s="7">
        <v>-0.21777066588401794</v>
      </c>
      <c r="I14" s="7"/>
      <c r="L14" s="12" t="s">
        <v>45</v>
      </c>
      <c r="M14" s="12">
        <v>55</v>
      </c>
      <c r="N14" s="12">
        <v>19.65115998075191</v>
      </c>
      <c r="O14" s="12"/>
      <c r="P14" s="12"/>
      <c r="Q14" s="12"/>
    </row>
    <row r="15" spans="1:20" ht="15.75" thickBot="1">
      <c r="A15" s="5" t="s">
        <v>30</v>
      </c>
      <c r="B15" s="3">
        <v>2009</v>
      </c>
      <c r="C15" s="7">
        <v>4.5737252235412598</v>
      </c>
      <c r="D15">
        <v>5023.9672905028019</v>
      </c>
      <c r="E15" s="7">
        <v>0.73597031831741333</v>
      </c>
      <c r="F15" s="7">
        <v>61.419998168945313</v>
      </c>
      <c r="G15" s="7">
        <v>0.49813839793205261</v>
      </c>
      <c r="H15" s="7">
        <v>-9.1217078268527985E-2</v>
      </c>
      <c r="I15" s="7"/>
    </row>
    <row r="16" spans="1:20">
      <c r="A16" s="5" t="s">
        <v>8</v>
      </c>
      <c r="B16" s="3">
        <v>2009</v>
      </c>
      <c r="C16" s="7">
        <v>3.8006391525268555</v>
      </c>
      <c r="D16">
        <v>2887.256079359217</v>
      </c>
      <c r="E16" s="7">
        <v>0.54351305961608887</v>
      </c>
      <c r="F16" s="7">
        <v>63.599998474121094</v>
      </c>
      <c r="G16" s="7">
        <v>0.49531400203704834</v>
      </c>
      <c r="H16" s="7">
        <v>-0.23808903992176056</v>
      </c>
      <c r="I16" s="7"/>
      <c r="L16" s="13"/>
      <c r="M16" s="13" t="s">
        <v>95</v>
      </c>
      <c r="N16" s="13" t="s">
        <v>20</v>
      </c>
      <c r="O16" s="13" t="s">
        <v>96</v>
      </c>
      <c r="P16" s="13" t="s">
        <v>97</v>
      </c>
      <c r="Q16" s="13" t="s">
        <v>98</v>
      </c>
      <c r="R16" s="13" t="s">
        <v>99</v>
      </c>
      <c r="S16" s="13" t="s">
        <v>100</v>
      </c>
      <c r="T16" s="13" t="s">
        <v>101</v>
      </c>
    </row>
    <row r="17" spans="1:20">
      <c r="A17" s="5" t="s">
        <v>37</v>
      </c>
      <c r="B17" s="3">
        <v>2009</v>
      </c>
      <c r="C17" s="7">
        <v>5.1582279205322266</v>
      </c>
      <c r="D17">
        <v>8381.8681106956574</v>
      </c>
      <c r="E17" s="7">
        <v>0.90807557106018066</v>
      </c>
      <c r="F17" s="7">
        <v>60.060001373291016</v>
      </c>
      <c r="G17" s="7">
        <v>0.61711513996124268</v>
      </c>
      <c r="H17" s="7">
        <v>-0.28898179531097412</v>
      </c>
      <c r="I17" s="7"/>
      <c r="L17" t="s">
        <v>102</v>
      </c>
      <c r="M17">
        <v>0.93905662368514353</v>
      </c>
      <c r="N17">
        <v>1.3607004275601839</v>
      </c>
      <c r="O17">
        <v>0.69012738194616974</v>
      </c>
      <c r="P17" s="25">
        <v>0.49330514895884658</v>
      </c>
      <c r="Q17">
        <v>-1.7939906189302657</v>
      </c>
      <c r="R17">
        <v>3.6721038663005525</v>
      </c>
      <c r="S17">
        <v>-1.7939906189302657</v>
      </c>
      <c r="T17">
        <v>3.6721038663005525</v>
      </c>
    </row>
    <row r="18" spans="1:20">
      <c r="A18" s="5" t="s">
        <v>9</v>
      </c>
      <c r="B18" s="3">
        <v>2010</v>
      </c>
      <c r="C18" s="7">
        <v>4.3678112030029297</v>
      </c>
      <c r="D18">
        <v>2796.0814342804319</v>
      </c>
      <c r="E18" s="7">
        <v>0.66034233570098877</v>
      </c>
      <c r="F18" s="7">
        <v>64.800003051757813</v>
      </c>
      <c r="G18" s="7">
        <v>0.45925670862197876</v>
      </c>
      <c r="H18" s="7">
        <v>-0.17998570203781128</v>
      </c>
      <c r="I18" s="7"/>
      <c r="L18" t="s">
        <v>3</v>
      </c>
      <c r="M18" s="23">
        <v>9.9578669913984814E-5</v>
      </c>
      <c r="N18">
        <v>2.2593502629056559E-5</v>
      </c>
      <c r="O18">
        <v>4.4074029400789261</v>
      </c>
      <c r="P18" s="20">
        <v>5.5435126482272112E-5</v>
      </c>
      <c r="Q18">
        <v>5.4198284334120761E-5</v>
      </c>
      <c r="R18">
        <v>1.4495905549384886E-4</v>
      </c>
      <c r="S18">
        <v>5.4198284334120761E-5</v>
      </c>
      <c r="T18">
        <v>1.4495905549384886E-4</v>
      </c>
    </row>
    <row r="19" spans="1:20">
      <c r="A19" s="5" t="s">
        <v>30</v>
      </c>
      <c r="B19" s="3">
        <v>2010</v>
      </c>
      <c r="C19" s="7">
        <v>4.2186107635498047</v>
      </c>
      <c r="D19">
        <v>5215.2041542949592</v>
      </c>
      <c r="E19" s="7">
        <v>0.68700098991394043</v>
      </c>
      <c r="F19" s="7">
        <v>61.700000762939453</v>
      </c>
      <c r="G19" s="7">
        <v>0.50107109546661377</v>
      </c>
      <c r="H19" s="7">
        <v>-0.1277264803647995</v>
      </c>
      <c r="I19" s="7"/>
      <c r="L19" t="s">
        <v>4</v>
      </c>
      <c r="M19" s="23">
        <v>2.2051001499919245</v>
      </c>
      <c r="N19">
        <v>0.38777969114458727</v>
      </c>
      <c r="O19">
        <v>5.6864766266723654</v>
      </c>
      <c r="P19" s="20">
        <v>6.6932588905355608E-7</v>
      </c>
      <c r="Q19">
        <v>1.426221717855845</v>
      </c>
      <c r="R19">
        <v>2.983978582128004</v>
      </c>
      <c r="S19">
        <v>1.426221717855845</v>
      </c>
      <c r="T19">
        <v>2.983978582128004</v>
      </c>
    </row>
    <row r="20" spans="1:20">
      <c r="A20" s="5" t="s">
        <v>8</v>
      </c>
      <c r="B20" s="3">
        <v>2010</v>
      </c>
      <c r="C20" s="7">
        <v>4.101837158203125</v>
      </c>
      <c r="D20">
        <v>3090.0651366231846</v>
      </c>
      <c r="E20" s="7">
        <v>0.54038894176483154</v>
      </c>
      <c r="F20" s="7">
        <v>63.700000762939453</v>
      </c>
      <c r="G20" s="7">
        <v>0.5578579306602478</v>
      </c>
      <c r="H20" s="7">
        <v>-0.25316470861434937</v>
      </c>
      <c r="I20" s="7"/>
      <c r="L20" t="s">
        <v>5</v>
      </c>
      <c r="M20" s="23">
        <v>1.4225743552921125E-2</v>
      </c>
      <c r="N20">
        <v>2.0502541125444352E-2</v>
      </c>
      <c r="O20">
        <v>0.693852701764197</v>
      </c>
      <c r="P20" s="26">
        <v>0.49098574604353917</v>
      </c>
      <c r="Q20">
        <v>-2.6954822245810722E-2</v>
      </c>
      <c r="R20">
        <v>5.5406309351652971E-2</v>
      </c>
      <c r="S20">
        <v>-2.6954822245810722E-2</v>
      </c>
      <c r="T20">
        <v>5.5406309351652971E-2</v>
      </c>
    </row>
    <row r="21" spans="1:20">
      <c r="A21" s="5" t="s">
        <v>37</v>
      </c>
      <c r="B21" s="3">
        <v>2010</v>
      </c>
      <c r="C21" s="7">
        <v>5.3847732543945313</v>
      </c>
      <c r="D21">
        <v>8755.120551409389</v>
      </c>
      <c r="E21" s="7">
        <v>0.9088141918182373</v>
      </c>
      <c r="F21" s="7">
        <v>60.5</v>
      </c>
      <c r="G21" s="7">
        <v>0.61315900087356567</v>
      </c>
      <c r="H21" s="7">
        <v>-0.30197861790657043</v>
      </c>
      <c r="I21" s="7"/>
      <c r="L21" t="s">
        <v>6</v>
      </c>
      <c r="M21" s="23">
        <v>1.4280528114109128</v>
      </c>
      <c r="N21">
        <v>0.30646253366126408</v>
      </c>
      <c r="O21">
        <v>4.659795748440013</v>
      </c>
      <c r="P21" s="20">
        <v>2.3790033832592233E-5</v>
      </c>
      <c r="Q21">
        <v>0.81250469690809457</v>
      </c>
      <c r="R21">
        <v>2.0436009259137311</v>
      </c>
      <c r="S21">
        <v>0.81250469690809457</v>
      </c>
      <c r="T21">
        <v>2.0436009259137311</v>
      </c>
    </row>
    <row r="22" spans="1:20" ht="15.75" thickBot="1">
      <c r="A22" s="5" t="s">
        <v>9</v>
      </c>
      <c r="B22" s="3">
        <v>2011</v>
      </c>
      <c r="C22" s="7">
        <v>4.2604913711547852</v>
      </c>
      <c r="D22">
        <v>2943.8368711931512</v>
      </c>
      <c r="E22" s="7">
        <v>0.70510846376419067</v>
      </c>
      <c r="F22" s="7">
        <v>65.040000915527344</v>
      </c>
      <c r="G22" s="7">
        <v>0.46452471613883972</v>
      </c>
      <c r="H22" s="7">
        <v>-0.22973772883415222</v>
      </c>
      <c r="I22" s="7"/>
      <c r="L22" s="12" t="s">
        <v>7</v>
      </c>
      <c r="M22" s="24">
        <v>0.48972630889810032</v>
      </c>
      <c r="N22" s="12">
        <v>0.54043807695917667</v>
      </c>
      <c r="O22" s="12">
        <v>0.90616544203100813</v>
      </c>
      <c r="P22" s="27">
        <v>0.36919457054507676</v>
      </c>
      <c r="Q22" s="12">
        <v>-0.59577551510446636</v>
      </c>
      <c r="R22" s="12">
        <v>1.575228132900667</v>
      </c>
      <c r="S22" s="12">
        <v>-0.59577551510446636</v>
      </c>
      <c r="T22" s="12">
        <v>1.575228132900667</v>
      </c>
    </row>
    <row r="23" spans="1:20">
      <c r="A23" s="5" t="s">
        <v>30</v>
      </c>
      <c r="B23" s="3">
        <v>2011</v>
      </c>
      <c r="C23" s="7">
        <v>4.6804695129394531</v>
      </c>
      <c r="D23">
        <v>5152.838502447441</v>
      </c>
      <c r="E23" s="7">
        <v>0.72519391775131226</v>
      </c>
      <c r="F23" s="7">
        <v>61.979999542236328</v>
      </c>
      <c r="G23" s="7">
        <v>0.53748428821563721</v>
      </c>
      <c r="H23" s="7">
        <v>-0.11023659259080887</v>
      </c>
      <c r="I23" s="7"/>
    </row>
    <row r="24" spans="1:20">
      <c r="A24" s="5" t="s">
        <v>8</v>
      </c>
      <c r="B24" s="3">
        <v>2011</v>
      </c>
      <c r="C24" s="7">
        <v>4.2030305862426758</v>
      </c>
      <c r="D24">
        <v>3362.1030031967971</v>
      </c>
      <c r="E24" s="7">
        <v>0.50293737649917603</v>
      </c>
      <c r="F24" s="7">
        <v>63.799999237060547</v>
      </c>
      <c r="G24" s="7">
        <v>0.63246452808380127</v>
      </c>
      <c r="H24" s="7">
        <v>-0.26043832302093506</v>
      </c>
      <c r="I24" s="7"/>
    </row>
    <row r="25" spans="1:20">
      <c r="A25" s="5" t="s">
        <v>37</v>
      </c>
      <c r="B25" s="3">
        <v>2011</v>
      </c>
      <c r="C25" s="7">
        <v>5.3887662887573242</v>
      </c>
      <c r="D25">
        <v>9120.8202111659484</v>
      </c>
      <c r="E25" s="7">
        <v>0.88341689109802246</v>
      </c>
      <c r="F25" s="7">
        <v>60.939998626708984</v>
      </c>
      <c r="G25" s="7">
        <v>0.62584757804870605</v>
      </c>
      <c r="H25" s="7">
        <v>-0.28445571660995483</v>
      </c>
      <c r="I25" s="7"/>
    </row>
    <row r="26" spans="1:20">
      <c r="A26" s="5" t="s">
        <v>9</v>
      </c>
      <c r="B26" s="3">
        <v>2012</v>
      </c>
      <c r="C26" s="7">
        <v>4.3197116851806641</v>
      </c>
      <c r="D26">
        <v>3159.7586078688928</v>
      </c>
      <c r="E26" s="7">
        <v>0.67644643783569336</v>
      </c>
      <c r="F26" s="7">
        <v>65.279998779296875</v>
      </c>
      <c r="G26" s="7">
        <v>0.50186377763748169</v>
      </c>
      <c r="H26" s="7">
        <v>-0.22002717852592468</v>
      </c>
      <c r="I26" s="7"/>
    </row>
    <row r="27" spans="1:20">
      <c r="A27" s="5" t="s">
        <v>30</v>
      </c>
      <c r="B27" s="3">
        <v>2012</v>
      </c>
      <c r="C27" s="7">
        <v>4.9107718467712402</v>
      </c>
      <c r="D27">
        <v>5194.9209166508335</v>
      </c>
      <c r="E27" s="7">
        <v>0.76187324523925781</v>
      </c>
      <c r="F27" s="7">
        <v>62.259998321533203</v>
      </c>
      <c r="G27" s="7">
        <v>0.59885907173156738</v>
      </c>
      <c r="H27" s="7">
        <v>-0.14562302827835083</v>
      </c>
      <c r="I27" s="7"/>
    </row>
    <row r="28" spans="1:20">
      <c r="A28" s="5" t="s">
        <v>8</v>
      </c>
      <c r="B28" s="3">
        <v>2012</v>
      </c>
      <c r="C28" s="7">
        <v>4.2544455528259277</v>
      </c>
      <c r="D28">
        <v>3609.7807986259963</v>
      </c>
      <c r="E28" s="7">
        <v>0.53258645534515381</v>
      </c>
      <c r="F28" s="7">
        <v>63.900001525878906</v>
      </c>
      <c r="G28" s="7">
        <v>0.65872400999069214</v>
      </c>
      <c r="H28" s="7">
        <v>-0.27456489205360413</v>
      </c>
      <c r="I28" s="7"/>
    </row>
    <row r="29" spans="1:20">
      <c r="A29" s="5" t="s">
        <v>37</v>
      </c>
      <c r="B29" s="3">
        <v>2012</v>
      </c>
      <c r="C29" s="7">
        <v>5.6207356452941895</v>
      </c>
      <c r="D29">
        <v>9464.0107485263998</v>
      </c>
      <c r="E29" s="7">
        <v>0.90129512548446655</v>
      </c>
      <c r="F29" s="7">
        <v>61.380001068115234</v>
      </c>
      <c r="G29" s="7">
        <v>0.60910415649414063</v>
      </c>
      <c r="H29" s="7">
        <v>-0.29825288057327271</v>
      </c>
      <c r="I29" s="7"/>
    </row>
    <row r="30" spans="1:20">
      <c r="A30" s="5" t="s">
        <v>9</v>
      </c>
      <c r="B30" s="3">
        <v>2013</v>
      </c>
      <c r="C30" s="7">
        <v>4.277191162109375</v>
      </c>
      <c r="D30">
        <v>3266.2988299987346</v>
      </c>
      <c r="E30" s="7">
        <v>0.72326004505157471</v>
      </c>
      <c r="F30" s="7">
        <v>65.519996643066406</v>
      </c>
      <c r="G30" s="7">
        <v>0.5040818452835083</v>
      </c>
      <c r="H30" s="7">
        <v>-0.20098087191581726</v>
      </c>
      <c r="I30" s="7"/>
    </row>
    <row r="31" spans="1:20">
      <c r="A31" s="5" t="s">
        <v>30</v>
      </c>
      <c r="B31" s="3">
        <v>2013</v>
      </c>
      <c r="C31" s="7">
        <v>5.4811782836914063</v>
      </c>
      <c r="D31">
        <v>5426.0959415596126</v>
      </c>
      <c r="E31" s="7">
        <v>0.76969015598297119</v>
      </c>
      <c r="F31" s="7">
        <v>62.540000915527344</v>
      </c>
      <c r="G31" s="7">
        <v>0.67195695638656616</v>
      </c>
      <c r="H31" s="7">
        <v>-0.1734439879655838</v>
      </c>
      <c r="I31" s="7"/>
    </row>
    <row r="32" spans="1:20">
      <c r="A32" s="5" t="s">
        <v>8</v>
      </c>
      <c r="B32" s="3">
        <v>2013</v>
      </c>
      <c r="C32" s="7">
        <v>4.3489208221435547</v>
      </c>
      <c r="D32">
        <v>3806.5060064905138</v>
      </c>
      <c r="E32" s="7">
        <v>0.55916577577590942</v>
      </c>
      <c r="F32" s="7">
        <v>64</v>
      </c>
      <c r="G32" s="7">
        <v>0.72212761640548706</v>
      </c>
      <c r="H32" s="7">
        <v>-0.2596762478351593</v>
      </c>
      <c r="I32" s="7"/>
    </row>
    <row r="33" spans="1:9">
      <c r="A33" s="5" t="s">
        <v>37</v>
      </c>
      <c r="B33" s="3">
        <v>2013</v>
      </c>
      <c r="C33" s="7">
        <v>5.537177562713623</v>
      </c>
      <c r="D33">
        <v>9601.5366512921228</v>
      </c>
      <c r="E33" s="7">
        <v>0.88085699081420898</v>
      </c>
      <c r="F33" s="7">
        <v>61.819999694824219</v>
      </c>
      <c r="G33" s="7">
        <v>0.66118556261062622</v>
      </c>
      <c r="H33" s="7">
        <v>-0.29497125744819641</v>
      </c>
      <c r="I33" s="7"/>
    </row>
    <row r="34" spans="1:9">
      <c r="A34" s="5" t="s">
        <v>9</v>
      </c>
      <c r="B34" s="3">
        <v>2014</v>
      </c>
      <c r="C34" s="7">
        <v>4.4530830383300781</v>
      </c>
      <c r="D34">
        <v>3393.0925232688396</v>
      </c>
      <c r="E34" s="7">
        <v>0.73876351118087769</v>
      </c>
      <c r="F34" s="7">
        <v>65.760002136230469</v>
      </c>
      <c r="G34" s="7">
        <v>0.50648713111877441</v>
      </c>
      <c r="H34" s="7">
        <v>-0.22462782263755798</v>
      </c>
      <c r="I34" s="7"/>
    </row>
    <row r="35" spans="1:9">
      <c r="A35" s="5" t="s">
        <v>30</v>
      </c>
      <c r="B35" s="3">
        <v>2014</v>
      </c>
      <c r="C35" s="7">
        <v>5.2515301704406738</v>
      </c>
      <c r="D35">
        <v>5506.1816960031856</v>
      </c>
      <c r="E35" s="7">
        <v>0.79943335056304932</v>
      </c>
      <c r="F35" s="7">
        <v>62.819999694824219</v>
      </c>
      <c r="G35" s="7">
        <v>0.73277294635772705</v>
      </c>
      <c r="H35" s="7">
        <v>-0.21381649374961853</v>
      </c>
      <c r="I35" s="7"/>
    </row>
    <row r="36" spans="1:9">
      <c r="A36" s="5" t="s">
        <v>8</v>
      </c>
      <c r="B36" s="3">
        <v>2014</v>
      </c>
      <c r="C36" s="7">
        <v>4.2875080108642578</v>
      </c>
      <c r="D36">
        <v>3960.3508009190073</v>
      </c>
      <c r="E36" s="7">
        <v>0.55842000246047974</v>
      </c>
      <c r="F36" s="7">
        <v>64.099998474121094</v>
      </c>
      <c r="G36" s="7">
        <v>0.71978116035461426</v>
      </c>
      <c r="H36" s="7">
        <v>-0.23858177661895752</v>
      </c>
      <c r="I36" s="7"/>
    </row>
    <row r="37" spans="1:9">
      <c r="A37" s="5" t="s">
        <v>37</v>
      </c>
      <c r="B37" s="3">
        <v>2014</v>
      </c>
      <c r="C37" s="7">
        <v>6.0369768142700195</v>
      </c>
      <c r="D37">
        <v>9643.288481520909</v>
      </c>
      <c r="E37" s="7">
        <v>0.9317554235458374</v>
      </c>
      <c r="F37" s="7">
        <v>62.259998321533203</v>
      </c>
      <c r="G37" s="7">
        <v>0.74433207511901855</v>
      </c>
      <c r="H37" s="7">
        <v>-0.27019765973091125</v>
      </c>
      <c r="I37" s="7"/>
    </row>
    <row r="38" spans="1:9">
      <c r="A38" s="5" t="s">
        <v>9</v>
      </c>
      <c r="B38" s="3">
        <v>2015</v>
      </c>
      <c r="C38" s="7">
        <v>4.3483195304870605</v>
      </c>
      <c r="D38">
        <v>3512.3935027670905</v>
      </c>
      <c r="E38" s="7">
        <v>0.72255104780197144</v>
      </c>
      <c r="F38" s="7">
        <v>66</v>
      </c>
      <c r="G38" s="7">
        <v>0.55102664232254028</v>
      </c>
      <c r="H38" s="7">
        <v>-0.20938660204410553</v>
      </c>
      <c r="I38" s="7"/>
    </row>
    <row r="39" spans="1:9">
      <c r="A39" s="5" t="s">
        <v>30</v>
      </c>
      <c r="B39" s="3">
        <v>2015</v>
      </c>
      <c r="C39" s="7">
        <v>5.1467747688293457</v>
      </c>
      <c r="D39">
        <v>5500.503646284862</v>
      </c>
      <c r="E39" s="7">
        <v>0.78570276498794556</v>
      </c>
      <c r="F39" s="7">
        <v>63.099998474121094</v>
      </c>
      <c r="G39" s="7">
        <v>0.7642894983291626</v>
      </c>
      <c r="H39" s="7">
        <v>-0.20340487360954285</v>
      </c>
      <c r="I39" s="7"/>
    </row>
    <row r="40" spans="1:9">
      <c r="A40" s="5" t="s">
        <v>8</v>
      </c>
      <c r="B40" s="3">
        <v>2015</v>
      </c>
      <c r="C40" s="7">
        <v>4.1219406127929688</v>
      </c>
      <c r="D40">
        <v>4086.6223465964995</v>
      </c>
      <c r="E40" s="7">
        <v>0.51737159490585327</v>
      </c>
      <c r="F40" s="7">
        <v>64.199996948242188</v>
      </c>
      <c r="G40" s="7">
        <v>0.63994497060775757</v>
      </c>
      <c r="H40" s="7">
        <v>-0.21042811870574951</v>
      </c>
      <c r="I40" s="7"/>
    </row>
    <row r="41" spans="1:9">
      <c r="A41" s="5" t="s">
        <v>37</v>
      </c>
      <c r="B41" s="3">
        <v>2015</v>
      </c>
      <c r="C41" s="7">
        <v>5.9955387115478516</v>
      </c>
      <c r="D41">
        <v>9426.6830247003563</v>
      </c>
      <c r="E41" s="7">
        <v>0.92436325550079346</v>
      </c>
      <c r="F41" s="7">
        <v>62.700000762939453</v>
      </c>
      <c r="G41" s="7">
        <v>0.68545472621917725</v>
      </c>
      <c r="H41" s="7">
        <v>-0.17669197916984558</v>
      </c>
      <c r="I41" s="7"/>
    </row>
    <row r="42" spans="1:9">
      <c r="A42" s="5" t="s">
        <v>9</v>
      </c>
      <c r="B42" s="3">
        <v>2016</v>
      </c>
      <c r="C42" s="7">
        <v>4.3254718780517578</v>
      </c>
      <c r="D42">
        <v>3533.8850360700676</v>
      </c>
      <c r="E42" s="7">
        <v>0.70921832323074341</v>
      </c>
      <c r="F42" s="7">
        <v>66.275001525878906</v>
      </c>
      <c r="G42" s="7">
        <v>0.61098694801330566</v>
      </c>
      <c r="H42" s="7">
        <v>-0.17776034772396088</v>
      </c>
      <c r="I42" s="7"/>
    </row>
    <row r="43" spans="1:9">
      <c r="A43" s="5" t="s">
        <v>30</v>
      </c>
      <c r="B43" s="3">
        <v>2016</v>
      </c>
      <c r="C43" s="7">
        <v>5.3038949966430664</v>
      </c>
      <c r="D43">
        <v>5270.7381657120031</v>
      </c>
      <c r="E43" s="7">
        <v>0.77727103233337402</v>
      </c>
      <c r="F43" s="7">
        <v>63.224998474121094</v>
      </c>
      <c r="G43" s="7">
        <v>0.71257317066192627</v>
      </c>
      <c r="H43" s="7">
        <v>-0.20979988574981689</v>
      </c>
      <c r="I43" s="7"/>
    </row>
    <row r="44" spans="1:9">
      <c r="A44" s="5" t="s">
        <v>8</v>
      </c>
      <c r="B44" s="3">
        <v>2016</v>
      </c>
      <c r="C44" s="7">
        <v>4.4483861923217773</v>
      </c>
      <c r="D44">
        <v>4225.0915490480565</v>
      </c>
      <c r="E44" s="7">
        <v>0.53341227769851685</v>
      </c>
      <c r="F44" s="7">
        <v>64.324996948242188</v>
      </c>
      <c r="G44" s="7">
        <v>0.60646837949752808</v>
      </c>
      <c r="H44" s="7">
        <v>-0.25481438636779785</v>
      </c>
      <c r="I44" s="7"/>
    </row>
    <row r="45" spans="1:9">
      <c r="A45" s="5" t="s">
        <v>37</v>
      </c>
      <c r="B45" s="3">
        <v>2016</v>
      </c>
      <c r="C45" s="7">
        <v>5.8549456596374512</v>
      </c>
      <c r="D45">
        <v>9420.5342782626685</v>
      </c>
      <c r="E45" s="7">
        <v>0.91092735528945923</v>
      </c>
      <c r="F45" s="7">
        <v>63.075000762939453</v>
      </c>
      <c r="G45" s="7">
        <v>0.71360629796981812</v>
      </c>
      <c r="H45" s="7">
        <v>-0.18687869608402252</v>
      </c>
      <c r="I45" s="7"/>
    </row>
    <row r="46" spans="1:9">
      <c r="A46" s="5" t="s">
        <v>9</v>
      </c>
      <c r="B46" s="3">
        <v>2017</v>
      </c>
      <c r="C46" s="7">
        <v>4.2877364158630371</v>
      </c>
      <c r="D46">
        <v>3815.3747426037021</v>
      </c>
      <c r="E46" s="7">
        <v>0.6979249119758606</v>
      </c>
      <c r="F46" s="7">
        <v>66.550003051757813</v>
      </c>
      <c r="G46" s="7">
        <v>0.61369705200195313</v>
      </c>
      <c r="H46" s="7">
        <v>-0.15476050972938538</v>
      </c>
      <c r="I46" s="7"/>
    </row>
    <row r="47" spans="1:9">
      <c r="A47" s="5" t="s">
        <v>30</v>
      </c>
      <c r="B47" s="3">
        <v>2017</v>
      </c>
      <c r="C47" s="7">
        <v>5.1522793769836426</v>
      </c>
      <c r="D47">
        <v>5229.7098898585955</v>
      </c>
      <c r="E47" s="7">
        <v>0.78703939914703369</v>
      </c>
      <c r="F47" s="7">
        <v>63.349998474121094</v>
      </c>
      <c r="G47" s="7">
        <v>0.73103046417236328</v>
      </c>
      <c r="H47" s="7">
        <v>-0.23079732060432434</v>
      </c>
      <c r="I47" s="7"/>
    </row>
    <row r="48" spans="1:9">
      <c r="A48" s="5" t="s">
        <v>8</v>
      </c>
      <c r="B48" s="3">
        <v>2017</v>
      </c>
      <c r="C48" s="7">
        <v>4.4507746696472168</v>
      </c>
      <c r="D48">
        <v>4442.5074412737404</v>
      </c>
      <c r="E48" s="7">
        <v>0.59049516916275024</v>
      </c>
      <c r="F48" s="7">
        <v>64.449996948242188</v>
      </c>
      <c r="G48" s="7">
        <v>0.82090878486633301</v>
      </c>
      <c r="H48" s="7">
        <v>-0.2495434433221817</v>
      </c>
      <c r="I48" s="7"/>
    </row>
    <row r="49" spans="1:9">
      <c r="A49" s="5" t="s">
        <v>37</v>
      </c>
      <c r="B49" s="3">
        <v>2017</v>
      </c>
      <c r="C49" s="7">
        <v>5.5787429809570313</v>
      </c>
      <c r="D49">
        <v>9574.192580204186</v>
      </c>
      <c r="E49" s="7">
        <v>0.89615130424499512</v>
      </c>
      <c r="F49" s="7">
        <v>63.450000762939453</v>
      </c>
      <c r="G49" s="7">
        <v>0.73087424039840698</v>
      </c>
      <c r="H49" s="7">
        <v>-0.15059798955917358</v>
      </c>
      <c r="I49" s="7"/>
    </row>
    <row r="50" spans="1:9">
      <c r="A50" s="5" t="s">
        <v>9</v>
      </c>
      <c r="B50" s="3">
        <v>2018</v>
      </c>
      <c r="C50" s="7">
        <v>5.0624485015869141</v>
      </c>
      <c r="D50">
        <v>4027.8339301097853</v>
      </c>
      <c r="E50" s="7">
        <v>0.8144490122795105</v>
      </c>
      <c r="F50" s="7">
        <v>66.824996948242188</v>
      </c>
      <c r="G50" s="7">
        <v>0.80764365196228027</v>
      </c>
      <c r="H50" s="7">
        <v>-0.17107826471328735</v>
      </c>
      <c r="I50" s="7"/>
    </row>
    <row r="51" spans="1:9">
      <c r="A51" s="5" t="s">
        <v>30</v>
      </c>
      <c r="B51" s="3">
        <v>2018</v>
      </c>
      <c r="C51" s="7">
        <v>5.1679954528808594</v>
      </c>
      <c r="D51">
        <v>5262.3687047336762</v>
      </c>
      <c r="E51" s="7">
        <v>0.78122991323471069</v>
      </c>
      <c r="F51" s="7">
        <v>63.474998474121094</v>
      </c>
      <c r="G51" s="7">
        <v>0.77244925498962402</v>
      </c>
      <c r="H51" s="7">
        <v>-0.23728296160697937</v>
      </c>
      <c r="I51" s="7"/>
    </row>
    <row r="52" spans="1:9">
      <c r="A52" s="5" t="s">
        <v>8</v>
      </c>
      <c r="B52" s="3">
        <v>2018</v>
      </c>
      <c r="C52" s="7">
        <v>4.6590971946716309</v>
      </c>
      <c r="D52">
        <v>4713.6535484530314</v>
      </c>
      <c r="E52" s="7">
        <v>0.61721855401992798</v>
      </c>
      <c r="F52" s="7">
        <v>64.574996948242188</v>
      </c>
      <c r="G52" s="7">
        <v>0.77514410018920898</v>
      </c>
      <c r="H52" s="7">
        <v>-0.23838350176811218</v>
      </c>
      <c r="I52" s="7"/>
    </row>
    <row r="53" spans="1:9">
      <c r="A53" s="5" t="s">
        <v>37</v>
      </c>
      <c r="B53" s="3">
        <v>2018</v>
      </c>
      <c r="C53" s="7">
        <v>5.5135002136230469</v>
      </c>
      <c r="D53">
        <v>9835.8659397908032</v>
      </c>
      <c r="E53" s="7">
        <v>0.90872609615325928</v>
      </c>
      <c r="F53" s="7">
        <v>63.825000762939453</v>
      </c>
      <c r="G53" s="7">
        <v>0.7292822003364563</v>
      </c>
      <c r="H53" s="7">
        <v>-0.15297549962997437</v>
      </c>
      <c r="I53" s="7"/>
    </row>
    <row r="54" spans="1:9">
      <c r="A54" s="5" t="s">
        <v>9</v>
      </c>
      <c r="B54" s="3">
        <v>2019</v>
      </c>
      <c r="C54" s="7">
        <v>5.4880867004394531</v>
      </c>
      <c r="D54">
        <v>4343.4583958301937</v>
      </c>
      <c r="E54" s="7">
        <v>0.78160387277603149</v>
      </c>
      <c r="F54" s="7">
        <v>67.099998474121094</v>
      </c>
      <c r="G54" s="7">
        <v>0.84432411193847656</v>
      </c>
      <c r="H54" s="7">
        <v>-0.18142963945865631</v>
      </c>
      <c r="I54" s="7"/>
    </row>
    <row r="55" spans="1:9">
      <c r="A55" s="5" t="s">
        <v>30</v>
      </c>
      <c r="B55" s="3">
        <v>2019</v>
      </c>
      <c r="C55" s="7">
        <v>5.1733894348144531</v>
      </c>
      <c r="D55">
        <v>5348.4531885182314</v>
      </c>
      <c r="E55" s="7">
        <v>0.88675642013549805</v>
      </c>
      <c r="F55" s="7">
        <v>63.599998474121094</v>
      </c>
      <c r="G55" s="7">
        <v>0.8542485237121582</v>
      </c>
      <c r="H55" s="7">
        <v>-0.22002698481082916</v>
      </c>
      <c r="I55" s="7"/>
    </row>
    <row r="56" spans="1:9">
      <c r="A56" s="5" t="s">
        <v>8</v>
      </c>
      <c r="B56" s="3">
        <v>2019</v>
      </c>
      <c r="C56" s="7">
        <v>4.8918356895446777</v>
      </c>
      <c r="D56">
        <v>4975.8114819481389</v>
      </c>
      <c r="E56" s="7">
        <v>0.67497605085372925</v>
      </c>
      <c r="F56" s="7">
        <v>64.699996948242188</v>
      </c>
      <c r="G56" s="7">
        <v>0.81053411960601807</v>
      </c>
      <c r="H56" s="7">
        <v>-0.26528984308242798</v>
      </c>
      <c r="I56" s="7"/>
    </row>
    <row r="57" spans="1:9">
      <c r="A57" s="5" t="s">
        <v>37</v>
      </c>
      <c r="B57" s="3">
        <v>2019</v>
      </c>
      <c r="C57" s="7">
        <v>5.440523624420166</v>
      </c>
      <c r="D57">
        <v>10048.251964998221</v>
      </c>
      <c r="E57" s="7">
        <v>0.9100988507270813</v>
      </c>
      <c r="F57" s="7">
        <v>64.199996948242188</v>
      </c>
      <c r="G57" s="7">
        <v>0.71476608514785767</v>
      </c>
      <c r="H57" s="7">
        <v>-0.1219959631562233</v>
      </c>
      <c r="I57" s="7"/>
    </row>
    <row r="58" spans="1:9">
      <c r="A58" s="5"/>
      <c r="B58" s="3"/>
      <c r="C58" s="7"/>
      <c r="E58" s="7"/>
      <c r="F58" s="7"/>
      <c r="G58" s="7"/>
      <c r="H58" s="7"/>
      <c r="I58" s="7"/>
    </row>
    <row r="59" spans="1:9">
      <c r="A59" s="5"/>
      <c r="B59" s="3"/>
      <c r="C59" s="7"/>
      <c r="E59" s="7"/>
      <c r="F59" s="7"/>
      <c r="G59" s="7"/>
      <c r="H59" s="7"/>
      <c r="I59" s="7"/>
    </row>
    <row r="60" spans="1:9">
      <c r="A60" s="5"/>
      <c r="B60" s="3"/>
      <c r="C60" s="7"/>
      <c r="E60" s="7"/>
      <c r="F60" s="7"/>
      <c r="G60" s="7"/>
      <c r="H60" s="7"/>
      <c r="I60" s="7"/>
    </row>
    <row r="61" spans="1:9">
      <c r="A61" s="5"/>
      <c r="B61" s="3"/>
      <c r="C61" s="7"/>
      <c r="E61" s="7"/>
      <c r="F61" s="7"/>
      <c r="G61" s="7"/>
      <c r="H61" s="7"/>
      <c r="I61" s="7"/>
    </row>
    <row r="62" spans="1:9">
      <c r="A62" s="5"/>
      <c r="B62" s="3"/>
      <c r="C62" s="7"/>
      <c r="E62" s="7"/>
      <c r="F62" s="7"/>
      <c r="G62" s="7"/>
      <c r="H62" s="5"/>
      <c r="I62" s="7"/>
    </row>
    <row r="63" spans="1:9">
      <c r="A63" s="5"/>
      <c r="B63" s="3"/>
      <c r="C63" s="7"/>
      <c r="E63" s="7"/>
      <c r="F63" s="7"/>
      <c r="G63" s="7"/>
      <c r="H63" s="7"/>
      <c r="I63" s="7"/>
    </row>
    <row r="64" spans="1:9">
      <c r="A64" s="5"/>
      <c r="B64" s="3"/>
      <c r="C64" s="7"/>
      <c r="E64" s="7"/>
      <c r="F64" s="7"/>
      <c r="G64" s="7"/>
      <c r="H64" s="7"/>
      <c r="I64" s="7"/>
    </row>
    <row r="65" spans="1:9">
      <c r="A65" s="5"/>
      <c r="B65" s="3"/>
      <c r="C65" s="7"/>
      <c r="E65" s="7"/>
      <c r="F65" s="7"/>
      <c r="G65" s="7"/>
      <c r="H65" s="7"/>
      <c r="I65" s="7"/>
    </row>
    <row r="66" spans="1:9">
      <c r="A66" s="5"/>
      <c r="B66" s="3"/>
      <c r="C66" s="7"/>
      <c r="E66" s="7"/>
      <c r="F66" s="7"/>
      <c r="G66" s="7"/>
      <c r="H66" s="7"/>
      <c r="I66" s="7"/>
    </row>
    <row r="67" spans="1:9">
      <c r="A67" s="5"/>
      <c r="B67" s="3"/>
      <c r="C67" s="7"/>
      <c r="E67" s="7"/>
      <c r="F67" s="7"/>
      <c r="G67" s="7"/>
      <c r="H67" s="7"/>
      <c r="I67" s="7"/>
    </row>
    <row r="68" spans="1:9">
      <c r="A68" s="5"/>
      <c r="B68" s="3"/>
      <c r="C68" s="7"/>
      <c r="E68" s="7"/>
      <c r="F68" s="7"/>
      <c r="G68" s="7"/>
      <c r="H68" s="7"/>
      <c r="I68" s="7"/>
    </row>
    <row r="69" spans="1:9">
      <c r="A69" s="5"/>
      <c r="B69" s="3"/>
      <c r="C69" s="7"/>
      <c r="E69" s="7"/>
      <c r="F69" s="7"/>
      <c r="G69" s="7"/>
      <c r="H69" s="7"/>
      <c r="I69" s="7"/>
    </row>
    <row r="70" spans="1:9">
      <c r="A70" s="5"/>
      <c r="B70" s="3"/>
      <c r="C70" s="7"/>
      <c r="E70" s="7"/>
      <c r="F70" s="7"/>
      <c r="G70" s="7"/>
      <c r="H70" s="7"/>
      <c r="I70" s="7"/>
    </row>
    <row r="71" spans="1:9">
      <c r="A71" s="5"/>
      <c r="B71" s="3"/>
      <c r="C71" s="7"/>
      <c r="E71" s="7"/>
      <c r="F71" s="7"/>
      <c r="G71" s="7"/>
      <c r="H71" s="7"/>
      <c r="I71" s="7"/>
    </row>
    <row r="72" spans="1:9">
      <c r="A72" s="5"/>
      <c r="B72" s="3"/>
      <c r="C72" s="7"/>
      <c r="E72" s="7"/>
      <c r="F72" s="7"/>
      <c r="G72" s="7"/>
      <c r="H72" s="7"/>
      <c r="I72" s="7"/>
    </row>
    <row r="73" spans="1:9">
      <c r="A73" s="5"/>
      <c r="B73" s="3"/>
      <c r="C73" s="7"/>
      <c r="E73" s="7"/>
      <c r="F73" s="7"/>
      <c r="G73" s="7"/>
      <c r="H73" s="7"/>
      <c r="I73" s="7"/>
    </row>
    <row r="74" spans="1:9">
      <c r="A74" s="5"/>
      <c r="B74" s="3"/>
      <c r="C74" s="7"/>
      <c r="E74" s="7"/>
      <c r="F74" s="7"/>
      <c r="G74" s="7"/>
      <c r="H74" s="7"/>
      <c r="I74" s="7"/>
    </row>
    <row r="75" spans="1:9">
      <c r="A75" s="5"/>
      <c r="B75" s="3"/>
      <c r="C75" s="7"/>
      <c r="E75" s="7"/>
      <c r="F75" s="7"/>
      <c r="G75" s="7"/>
      <c r="H75" s="7"/>
      <c r="I75" s="7"/>
    </row>
    <row r="76" spans="1:9">
      <c r="A76" s="5"/>
      <c r="B76" s="3"/>
      <c r="C76" s="7"/>
      <c r="E76" s="7"/>
      <c r="F76" s="7"/>
      <c r="G76" s="7"/>
      <c r="H76" s="7"/>
      <c r="I76" s="7"/>
    </row>
    <row r="77" spans="1:9">
      <c r="A77" s="5"/>
      <c r="B77" s="3"/>
      <c r="C77" s="7"/>
      <c r="E77" s="7"/>
      <c r="F77" s="7"/>
      <c r="G77" s="7"/>
      <c r="H77" s="7"/>
      <c r="I77" s="7"/>
    </row>
    <row r="78" spans="1:9">
      <c r="A78" s="5"/>
      <c r="B78" s="3"/>
      <c r="C78" s="7"/>
      <c r="E78" s="7"/>
      <c r="F78" s="7"/>
      <c r="G78" s="7"/>
      <c r="H78" s="7"/>
      <c r="I78" s="7"/>
    </row>
    <row r="79" spans="1:9">
      <c r="A79" s="5"/>
      <c r="B79" s="3"/>
      <c r="C79" s="7"/>
      <c r="E79" s="7"/>
      <c r="F79" s="7"/>
      <c r="G79" s="7"/>
      <c r="H79" s="7"/>
      <c r="I79" s="7"/>
    </row>
  </sheetData>
  <autoFilter ref="A1:H79" xr:uid="{A630A206-5C02-4326-90B1-A1F9326F1EFE}">
    <sortState xmlns:xlrd2="http://schemas.microsoft.com/office/spreadsheetml/2017/richdata2" ref="A2:H79">
      <sortCondition ref="B1:B79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8827-269B-4DEF-8C68-DAB248F64252}">
  <dimension ref="A1:K39"/>
  <sheetViews>
    <sheetView zoomScale="65" zoomScaleNormal="100" workbookViewId="0">
      <selection activeCell="K62" sqref="K62"/>
    </sheetView>
  </sheetViews>
  <sheetFormatPr defaultRowHeight="15"/>
  <cols>
    <col min="1" max="1" width="14.42578125" style="2" bestFit="1" customWidth="1"/>
    <col min="2" max="2" width="9.140625" style="2"/>
    <col min="3" max="3" width="17.5703125" style="2" customWidth="1"/>
    <col min="4" max="4" width="14.42578125" style="2" customWidth="1"/>
    <col min="5" max="5" width="17.42578125" style="2" customWidth="1"/>
    <col min="6" max="6" width="21.140625" style="2" customWidth="1"/>
    <col min="7" max="7" width="26.7109375" style="2" customWidth="1"/>
    <col min="8" max="8" width="17.42578125" style="2" customWidth="1"/>
    <col min="9" max="9" width="9.140625" style="2"/>
    <col min="10" max="10" width="15.85546875" style="2" customWidth="1"/>
    <col min="11" max="11" width="19" style="2" customWidth="1"/>
    <col min="12" max="12" width="13.85546875" style="2" customWidth="1"/>
    <col min="13" max="13" width="19" style="2" customWidth="1"/>
    <col min="14" max="14" width="9.140625" style="2"/>
    <col min="15" max="15" width="14" style="2" customWidth="1"/>
    <col min="16" max="16384" width="9.140625" style="2"/>
  </cols>
  <sheetData>
    <row r="1" spans="1:8">
      <c r="A1" s="49" t="s">
        <v>0</v>
      </c>
      <c r="B1" s="49" t="s">
        <v>1</v>
      </c>
      <c r="C1" s="4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49" t="s">
        <v>37</v>
      </c>
      <c r="B2" s="50">
        <v>2006</v>
      </c>
      <c r="C2" s="48">
        <v>4.963742733001709</v>
      </c>
      <c r="D2" s="2">
        <v>7949.8968790137515</v>
      </c>
      <c r="E2" s="2">
        <v>0.89470738172531128</v>
      </c>
      <c r="F2" s="2">
        <v>58.740001678466797</v>
      </c>
      <c r="G2" s="2">
        <v>0.64338821172714233</v>
      </c>
      <c r="H2" s="2">
        <v>-0.31214404106140137</v>
      </c>
    </row>
    <row r="3" spans="1:8">
      <c r="A3" s="49" t="s">
        <v>37</v>
      </c>
      <c r="B3" s="50">
        <v>2007</v>
      </c>
      <c r="C3" s="48">
        <v>5.222867488861084</v>
      </c>
      <c r="D3" s="2">
        <v>8640.4058908334118</v>
      </c>
      <c r="E3" s="2">
        <v>0.88465636968612671</v>
      </c>
      <c r="F3" s="2">
        <v>59.180000305175781</v>
      </c>
      <c r="G3" s="2">
        <v>0.59256970882415771</v>
      </c>
      <c r="H3" s="2">
        <v>-0.28935009241104126</v>
      </c>
    </row>
    <row r="4" spans="1:8">
      <c r="A4" s="49" t="s">
        <v>37</v>
      </c>
      <c r="B4" s="50">
        <v>2008</v>
      </c>
      <c r="C4" s="48">
        <v>5.6187539100646973</v>
      </c>
      <c r="D4" s="2">
        <v>9093.7000771478979</v>
      </c>
      <c r="E4" s="2">
        <v>0.88231617212295532</v>
      </c>
      <c r="F4" s="2">
        <v>59.619998931884766</v>
      </c>
      <c r="G4" s="2">
        <v>0.64277827739715576</v>
      </c>
      <c r="H4" s="2">
        <v>-0.31063604354858398</v>
      </c>
    </row>
    <row r="5" spans="1:8">
      <c r="A5" s="49" t="s">
        <v>37</v>
      </c>
      <c r="B5" s="50">
        <v>2009</v>
      </c>
      <c r="C5" s="48">
        <v>5.1582279205322266</v>
      </c>
      <c r="D5" s="2">
        <v>8381.8681106956574</v>
      </c>
      <c r="E5" s="2">
        <v>0.90807557106018066</v>
      </c>
      <c r="F5" s="2">
        <v>60.060001373291016</v>
      </c>
      <c r="G5" s="2">
        <v>0.61711513996124268</v>
      </c>
      <c r="H5" s="2">
        <v>-0.28898179531097412</v>
      </c>
    </row>
    <row r="6" spans="1:8">
      <c r="A6" s="49" t="s">
        <v>37</v>
      </c>
      <c r="B6" s="50">
        <v>2010</v>
      </c>
      <c r="C6" s="48">
        <v>5.3847732543945313</v>
      </c>
      <c r="D6" s="2">
        <v>8755.120551409389</v>
      </c>
      <c r="E6" s="2">
        <v>0.9088141918182373</v>
      </c>
      <c r="F6" s="2">
        <v>60.5</v>
      </c>
      <c r="G6" s="2">
        <v>0.61315900087356567</v>
      </c>
      <c r="H6" s="2">
        <v>-0.30197861790657043</v>
      </c>
    </row>
    <row r="7" spans="1:8">
      <c r="A7" s="49" t="s">
        <v>37</v>
      </c>
      <c r="B7" s="50">
        <v>2011</v>
      </c>
      <c r="C7" s="48">
        <v>5.3887662887573242</v>
      </c>
      <c r="D7" s="2">
        <v>9120.8202111659484</v>
      </c>
      <c r="E7" s="2">
        <v>0.88341689109802246</v>
      </c>
      <c r="F7" s="2">
        <v>60.939998626708984</v>
      </c>
      <c r="G7" s="2">
        <v>0.62584757804870605</v>
      </c>
      <c r="H7" s="2">
        <v>-0.28445571660995483</v>
      </c>
    </row>
    <row r="8" spans="1:8">
      <c r="A8" s="49" t="s">
        <v>37</v>
      </c>
      <c r="B8" s="50">
        <v>2012</v>
      </c>
      <c r="C8" s="48">
        <v>5.6207356452941895</v>
      </c>
      <c r="D8" s="2">
        <v>9464.0107485263998</v>
      </c>
      <c r="E8" s="2">
        <v>0.90129512548446655</v>
      </c>
      <c r="F8" s="2">
        <v>61.380001068115234</v>
      </c>
      <c r="G8" s="2">
        <v>0.60910415649414063</v>
      </c>
      <c r="H8" s="2">
        <v>-0.29825288057327271</v>
      </c>
    </row>
    <row r="9" spans="1:8">
      <c r="A9" s="49" t="s">
        <v>37</v>
      </c>
      <c r="B9" s="50">
        <v>2013</v>
      </c>
      <c r="C9" s="48">
        <v>5.537177562713623</v>
      </c>
      <c r="D9" s="2">
        <v>9601.5366512921228</v>
      </c>
      <c r="E9" s="2">
        <v>0.88085699081420898</v>
      </c>
      <c r="F9" s="2">
        <v>61.819999694824219</v>
      </c>
      <c r="G9" s="2">
        <v>0.66118556261062622</v>
      </c>
      <c r="H9" s="2">
        <v>-0.29497125744819641</v>
      </c>
    </row>
    <row r="10" spans="1:8">
      <c r="A10" s="49" t="s">
        <v>37</v>
      </c>
      <c r="B10" s="50">
        <v>2014</v>
      </c>
      <c r="C10" s="48">
        <v>6.0369768142700195</v>
      </c>
      <c r="D10" s="2">
        <v>9643.288481520909</v>
      </c>
      <c r="E10" s="2">
        <v>0.9317554235458374</v>
      </c>
      <c r="F10" s="2">
        <v>62.259998321533203</v>
      </c>
      <c r="G10" s="2">
        <v>0.74433207511901855</v>
      </c>
      <c r="H10" s="2">
        <v>-0.27019765973091125</v>
      </c>
    </row>
    <row r="11" spans="1:8">
      <c r="A11" s="49" t="s">
        <v>37</v>
      </c>
      <c r="B11" s="50">
        <v>2015</v>
      </c>
      <c r="C11" s="48">
        <v>5.9955387115478516</v>
      </c>
      <c r="D11" s="2">
        <v>9426.6830247003563</v>
      </c>
      <c r="E11" s="2">
        <v>0.92436325550079346</v>
      </c>
      <c r="F11" s="2">
        <v>62.700000762939453</v>
      </c>
      <c r="G11" s="2">
        <v>0.68545472621917725</v>
      </c>
      <c r="H11" s="2">
        <v>-0.17669197916984558</v>
      </c>
    </row>
    <row r="12" spans="1:8">
      <c r="A12" s="49" t="s">
        <v>37</v>
      </c>
      <c r="B12" s="50">
        <v>2016</v>
      </c>
      <c r="C12" s="48">
        <v>5.8549456596374512</v>
      </c>
      <c r="D12" s="2">
        <v>9420.5342782626685</v>
      </c>
      <c r="E12" s="2">
        <v>0.91092735528945923</v>
      </c>
      <c r="F12" s="2">
        <v>63.075000762939453</v>
      </c>
      <c r="G12" s="2">
        <v>0.71360629796981812</v>
      </c>
      <c r="H12" s="2">
        <v>-0.18687869608402252</v>
      </c>
    </row>
    <row r="13" spans="1:8">
      <c r="A13" s="49" t="s">
        <v>37</v>
      </c>
      <c r="B13" s="50">
        <v>2017</v>
      </c>
      <c r="C13" s="48">
        <v>5.5787429809570313</v>
      </c>
      <c r="D13" s="2">
        <v>9574.192580204186</v>
      </c>
      <c r="E13" s="2">
        <v>0.89615130424499512</v>
      </c>
      <c r="F13" s="2">
        <v>63.450000762939453</v>
      </c>
      <c r="G13" s="2">
        <v>0.73087424039840698</v>
      </c>
      <c r="H13" s="2">
        <v>-0.15059798955917358</v>
      </c>
    </row>
    <row r="14" spans="1:8">
      <c r="A14" s="49" t="s">
        <v>37</v>
      </c>
      <c r="B14" s="50">
        <v>2018</v>
      </c>
      <c r="C14" s="48">
        <v>5.5135002136230469</v>
      </c>
      <c r="D14" s="2">
        <v>9835.8659397908032</v>
      </c>
      <c r="E14" s="2">
        <v>0.90872609615325928</v>
      </c>
      <c r="F14" s="2">
        <v>63.825000762939453</v>
      </c>
      <c r="G14" s="2">
        <v>0.7292822003364563</v>
      </c>
      <c r="H14" s="2">
        <v>-0.15297549962997437</v>
      </c>
    </row>
    <row r="15" spans="1:8">
      <c r="A15" s="49" t="s">
        <v>37</v>
      </c>
      <c r="B15" s="50">
        <v>2019</v>
      </c>
      <c r="C15" s="48">
        <v>5.440523624420166</v>
      </c>
      <c r="D15" s="2">
        <v>10048.251964998221</v>
      </c>
      <c r="E15" s="2">
        <v>0.9100988507270813</v>
      </c>
      <c r="F15" s="2">
        <v>64.199996948242188</v>
      </c>
      <c r="G15" s="2">
        <v>0.71476608514785767</v>
      </c>
      <c r="H15" s="2">
        <v>-0.1219959631562233</v>
      </c>
    </row>
    <row r="18" spans="3:8">
      <c r="C18" s="2" t="s">
        <v>103</v>
      </c>
    </row>
    <row r="19" spans="3:8" ht="15.75" thickBot="1"/>
    <row r="20" spans="3:8">
      <c r="C20" s="57" t="s">
        <v>82</v>
      </c>
      <c r="D20" s="57"/>
    </row>
    <row r="21" spans="3:8">
      <c r="C21" s="2" t="s">
        <v>83</v>
      </c>
      <c r="D21" s="2">
        <v>0.8440131190300344</v>
      </c>
    </row>
    <row r="22" spans="3:8">
      <c r="C22" s="55" t="s">
        <v>84</v>
      </c>
      <c r="D22" s="55">
        <v>0.71235814509480699</v>
      </c>
    </row>
    <row r="23" spans="3:8">
      <c r="C23" s="2" t="s">
        <v>85</v>
      </c>
      <c r="D23" s="2">
        <v>0.53258198577906146</v>
      </c>
    </row>
    <row r="24" spans="3:8">
      <c r="C24" s="55" t="s">
        <v>20</v>
      </c>
      <c r="D24" s="55">
        <v>0.20768253267275863</v>
      </c>
    </row>
    <row r="25" spans="3:8" ht="15.75" thickBot="1">
      <c r="C25" s="51" t="s">
        <v>86</v>
      </c>
      <c r="D25" s="51">
        <v>14</v>
      </c>
    </row>
    <row r="27" spans="3:8" ht="15.75" thickBot="1">
      <c r="C27" s="2" t="s">
        <v>87</v>
      </c>
    </row>
    <row r="28" spans="3:8">
      <c r="C28" s="53"/>
      <c r="D28" s="53" t="s">
        <v>88</v>
      </c>
      <c r="E28" s="53" t="s">
        <v>89</v>
      </c>
      <c r="F28" s="53" t="s">
        <v>90</v>
      </c>
      <c r="G28" s="56" t="s">
        <v>91</v>
      </c>
      <c r="H28" s="56" t="s">
        <v>92</v>
      </c>
    </row>
    <row r="29" spans="3:8">
      <c r="C29" s="2" t="s">
        <v>93</v>
      </c>
      <c r="D29" s="2">
        <v>5</v>
      </c>
      <c r="E29" s="2">
        <v>0.85454756960476197</v>
      </c>
      <c r="F29" s="2">
        <v>0.17090951392095238</v>
      </c>
      <c r="G29" s="55">
        <v>3.9624728206795963</v>
      </c>
      <c r="H29" s="55">
        <v>4.1784983547931379E-2</v>
      </c>
    </row>
    <row r="30" spans="3:8">
      <c r="C30" s="2" t="s">
        <v>94</v>
      </c>
      <c r="D30" s="2">
        <v>8</v>
      </c>
      <c r="E30" s="2">
        <v>0.34505627501897163</v>
      </c>
      <c r="F30" s="2">
        <v>4.3132034377371453E-2</v>
      </c>
    </row>
    <row r="31" spans="3:8" ht="15.75" thickBot="1">
      <c r="C31" s="51" t="s">
        <v>45</v>
      </c>
      <c r="D31" s="51">
        <v>13</v>
      </c>
      <c r="E31" s="51">
        <v>1.1996038446237336</v>
      </c>
      <c r="F31" s="51"/>
      <c r="G31" s="51"/>
      <c r="H31" s="51"/>
    </row>
    <row r="32" spans="3:8" ht="15.75" thickBot="1"/>
    <row r="33" spans="3:11">
      <c r="C33" s="53"/>
      <c r="D33" s="53" t="s">
        <v>95</v>
      </c>
      <c r="E33" s="53" t="s">
        <v>20</v>
      </c>
      <c r="F33" s="53" t="s">
        <v>96</v>
      </c>
      <c r="G33" s="56" t="s">
        <v>97</v>
      </c>
      <c r="H33" s="53" t="s">
        <v>98</v>
      </c>
      <c r="I33" s="53" t="s">
        <v>99</v>
      </c>
      <c r="J33" s="53" t="s">
        <v>104</v>
      </c>
      <c r="K33" s="53" t="s">
        <v>105</v>
      </c>
    </row>
    <row r="34" spans="3:11">
      <c r="C34" s="55" t="s">
        <v>102</v>
      </c>
      <c r="D34" s="55">
        <v>-2.4420758597607124</v>
      </c>
      <c r="E34" s="2">
        <v>7.0243947483114093</v>
      </c>
      <c r="F34" s="2">
        <v>-0.3476564098775573</v>
      </c>
      <c r="G34" s="55">
        <v>0.73706812630389096</v>
      </c>
      <c r="H34" s="2">
        <v>-18.640359196673259</v>
      </c>
      <c r="I34" s="2">
        <v>13.756207477151833</v>
      </c>
      <c r="J34" s="2">
        <v>-18.640359196673259</v>
      </c>
      <c r="K34" s="2">
        <v>13.756207477151833</v>
      </c>
    </row>
    <row r="35" spans="3:11">
      <c r="C35" s="55" t="s">
        <v>3</v>
      </c>
      <c r="D35" s="55">
        <v>5.53693108195963E-4</v>
      </c>
      <c r="E35" s="2">
        <v>2.8020057658262548E-4</v>
      </c>
      <c r="F35" s="2">
        <v>1.9760598459464271</v>
      </c>
      <c r="G35" s="55">
        <v>8.3556632304707681E-2</v>
      </c>
      <c r="H35" s="2">
        <v>-9.2450580090163294E-5</v>
      </c>
      <c r="I35" s="2">
        <v>1.1998367964820892E-3</v>
      </c>
      <c r="J35" s="2">
        <v>-9.2450580090163294E-5</v>
      </c>
      <c r="K35" s="2">
        <v>1.1998367964820892E-3</v>
      </c>
    </row>
    <row r="36" spans="3:11">
      <c r="C36" s="55" t="s">
        <v>4</v>
      </c>
      <c r="D36" s="55">
        <v>9.5171048662353179</v>
      </c>
      <c r="E36" s="2">
        <v>4.7778217716535529</v>
      </c>
      <c r="F36" s="2">
        <v>1.9919338395374153</v>
      </c>
      <c r="G36" s="55">
        <v>8.1528488552086845E-2</v>
      </c>
      <c r="H36" s="2">
        <v>-1.5005718964662744</v>
      </c>
      <c r="I36" s="2">
        <v>20.534781628936912</v>
      </c>
      <c r="J36" s="2">
        <v>-1.5005718964662744</v>
      </c>
      <c r="K36" s="2">
        <v>20.534781628936912</v>
      </c>
    </row>
    <row r="37" spans="3:11">
      <c r="C37" s="55" t="s">
        <v>5</v>
      </c>
      <c r="D37" s="55">
        <v>-0.11233638575563197</v>
      </c>
      <c r="E37" s="2">
        <v>0.1552740363542931</v>
      </c>
      <c r="F37" s="2">
        <v>-0.72347179472626644</v>
      </c>
      <c r="G37" s="55">
        <v>0.49000035347208892</v>
      </c>
      <c r="H37" s="2">
        <v>-0.47039895567847406</v>
      </c>
      <c r="I37" s="2">
        <v>0.24572618416721009</v>
      </c>
      <c r="J37" s="2">
        <v>-0.47039895567847406</v>
      </c>
      <c r="K37" s="2">
        <v>0.24572618416721009</v>
      </c>
    </row>
    <row r="38" spans="3:11">
      <c r="C38" s="55" t="s">
        <v>6</v>
      </c>
      <c r="D38" s="55">
        <v>1.5003086365945444</v>
      </c>
      <c r="E38" s="2">
        <v>2.0036314919023148</v>
      </c>
      <c r="F38" s="2">
        <v>0.74879469735729753</v>
      </c>
      <c r="G38" s="55">
        <v>0.47541810741402124</v>
      </c>
      <c r="H38" s="2">
        <v>-3.1200738691574879</v>
      </c>
      <c r="I38" s="2">
        <v>6.1206911423465771</v>
      </c>
      <c r="J38" s="2">
        <v>-3.1200738691574879</v>
      </c>
      <c r="K38" s="2">
        <v>6.1206911423465771</v>
      </c>
    </row>
    <row r="39" spans="3:11" ht="15.75" thickBot="1">
      <c r="C39" s="54" t="s">
        <v>7</v>
      </c>
      <c r="D39" s="54">
        <v>-0.80099199205628802</v>
      </c>
      <c r="E39" s="51">
        <v>2.1580217993391995</v>
      </c>
      <c r="F39" s="51">
        <v>-0.37116955551679648</v>
      </c>
      <c r="G39" s="54">
        <v>0.72014814696763874</v>
      </c>
      <c r="H39" s="51">
        <v>-5.7773991851932198</v>
      </c>
      <c r="I39" s="51">
        <v>4.1754152010806429</v>
      </c>
      <c r="J39" s="51">
        <v>-5.7773991851932198</v>
      </c>
      <c r="K39" s="51">
        <v>4.1754152010806429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263D-8368-4696-B36D-01B16AD3B55B}">
  <dimension ref="A1:J38"/>
  <sheetViews>
    <sheetView zoomScale="74" zoomScaleNormal="62" workbookViewId="0">
      <selection activeCell="N30" sqref="N30"/>
    </sheetView>
  </sheetViews>
  <sheetFormatPr defaultRowHeight="15"/>
  <cols>
    <col min="1" max="1" width="10.28515625" customWidth="1"/>
    <col min="2" max="2" width="12.140625" customWidth="1"/>
    <col min="3" max="3" width="9.140625" customWidth="1"/>
    <col min="4" max="4" width="13.85546875" customWidth="1"/>
    <col min="5" max="5" width="11.7109375" customWidth="1"/>
    <col min="6" max="6" width="23.28515625" customWidth="1"/>
    <col min="7" max="7" width="24.7109375" customWidth="1"/>
  </cols>
  <sheetData>
    <row r="1" spans="1:8">
      <c r="A1" s="33" t="s">
        <v>0</v>
      </c>
      <c r="B1" s="33" t="s">
        <v>1</v>
      </c>
      <c r="C1" s="30" t="s">
        <v>2</v>
      </c>
      <c r="D1" s="36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8">
      <c r="A2" s="33" t="s">
        <v>8</v>
      </c>
      <c r="B2" s="32">
        <v>2006</v>
      </c>
      <c r="C2" s="30">
        <v>3.6751084327697754</v>
      </c>
      <c r="D2" s="31">
        <v>2554.8125350391365</v>
      </c>
      <c r="E2" s="30">
        <v>0.64663594961166382</v>
      </c>
      <c r="F2" s="30">
        <v>63.299999237060547</v>
      </c>
      <c r="G2" s="30">
        <v>0.55259263515472412</v>
      </c>
      <c r="H2" s="30">
        <v>-0.27255910634994507</v>
      </c>
    </row>
    <row r="3" spans="1:8">
      <c r="A3" s="33" t="s">
        <v>8</v>
      </c>
      <c r="B3" s="32">
        <v>2007</v>
      </c>
      <c r="C3" s="30">
        <v>3.7071945667266846</v>
      </c>
      <c r="D3" s="31">
        <v>2891.1370233184598</v>
      </c>
      <c r="E3" s="30">
        <v>0.54836905002593994</v>
      </c>
      <c r="F3" s="30">
        <v>63.400001525878906</v>
      </c>
      <c r="G3" s="30">
        <v>0.46372252702713013</v>
      </c>
      <c r="H3" s="30">
        <v>-0.27222028374671936</v>
      </c>
    </row>
    <row r="4" spans="1:8">
      <c r="A4" s="33" t="s">
        <v>8</v>
      </c>
      <c r="B4" s="32">
        <v>2008</v>
      </c>
      <c r="C4" s="30">
        <v>4.156090259552002</v>
      </c>
      <c r="D4" s="31">
        <v>2970.1585828242805</v>
      </c>
      <c r="E4" s="30">
        <v>0.6075127124786377</v>
      </c>
      <c r="F4" s="30">
        <v>63.5</v>
      </c>
      <c r="G4" s="30">
        <v>0.61399739980697632</v>
      </c>
      <c r="H4" s="30">
        <v>-0.22981572151184082</v>
      </c>
    </row>
    <row r="5" spans="1:8">
      <c r="A5" s="33" t="s">
        <v>8</v>
      </c>
      <c r="B5" s="32">
        <v>2009</v>
      </c>
      <c r="C5" s="30">
        <v>3.8006391525268555</v>
      </c>
      <c r="D5" s="31">
        <v>2887.256079359217</v>
      </c>
      <c r="E5" s="30">
        <v>0.54351305961608887</v>
      </c>
      <c r="F5" s="30">
        <v>63.599998474121094</v>
      </c>
      <c r="G5" s="30">
        <v>0.49531400203704834</v>
      </c>
      <c r="H5" s="30">
        <v>-0.23808903992176056</v>
      </c>
    </row>
    <row r="6" spans="1:8">
      <c r="A6" s="33" t="s">
        <v>8</v>
      </c>
      <c r="B6" s="32">
        <v>2010</v>
      </c>
      <c r="C6" s="30">
        <v>4.101837158203125</v>
      </c>
      <c r="D6" s="31">
        <v>3090.0651366231846</v>
      </c>
      <c r="E6" s="30">
        <v>0.54038894176483154</v>
      </c>
      <c r="F6" s="30">
        <v>63.700000762939453</v>
      </c>
      <c r="G6" s="30">
        <v>0.5578579306602478</v>
      </c>
      <c r="H6" s="30">
        <v>-0.25316470861434937</v>
      </c>
    </row>
    <row r="7" spans="1:8">
      <c r="A7" s="33" t="s">
        <v>8</v>
      </c>
      <c r="B7" s="32">
        <v>2011</v>
      </c>
      <c r="C7" s="30">
        <v>4.2030305862426758</v>
      </c>
      <c r="D7" s="31">
        <v>3362.1030031967971</v>
      </c>
      <c r="E7" s="30">
        <v>0.50293737649917603</v>
      </c>
      <c r="F7" s="30">
        <v>63.799999237060547</v>
      </c>
      <c r="G7" s="30">
        <v>0.63246452808380127</v>
      </c>
      <c r="H7" s="30">
        <v>-0.26043832302093506</v>
      </c>
    </row>
    <row r="8" spans="1:8">
      <c r="A8" s="33" t="s">
        <v>8</v>
      </c>
      <c r="B8" s="32">
        <v>2012</v>
      </c>
      <c r="C8" s="30">
        <v>4.2544455528259277</v>
      </c>
      <c r="D8" s="31">
        <v>3609.7807986259963</v>
      </c>
      <c r="E8" s="30">
        <v>0.53258645534515381</v>
      </c>
      <c r="F8" s="30">
        <v>63.900001525878906</v>
      </c>
      <c r="G8" s="30">
        <v>0.65872400999069214</v>
      </c>
      <c r="H8" s="30">
        <v>-0.27456489205360413</v>
      </c>
    </row>
    <row r="9" spans="1:8">
      <c r="A9" s="33" t="s">
        <v>8</v>
      </c>
      <c r="B9" s="32">
        <v>2013</v>
      </c>
      <c r="C9" s="30">
        <v>4.3489208221435547</v>
      </c>
      <c r="D9" s="31">
        <v>3806.5060064905138</v>
      </c>
      <c r="E9" s="30">
        <v>0.55916577577590942</v>
      </c>
      <c r="F9" s="30">
        <v>64</v>
      </c>
      <c r="G9" s="30">
        <v>0.72212761640548706</v>
      </c>
      <c r="H9" s="30">
        <v>-0.2596762478351593</v>
      </c>
    </row>
    <row r="10" spans="1:8">
      <c r="A10" s="33" t="s">
        <v>8</v>
      </c>
      <c r="B10" s="32">
        <v>2014</v>
      </c>
      <c r="C10" s="30">
        <v>4.2875080108642578</v>
      </c>
      <c r="D10" s="31">
        <v>3960.3508009190073</v>
      </c>
      <c r="E10" s="30">
        <v>0.55842000246047974</v>
      </c>
      <c r="F10" s="30">
        <v>64.099998474121094</v>
      </c>
      <c r="G10" s="30">
        <v>0.71978116035461426</v>
      </c>
      <c r="H10" s="30">
        <v>-0.23858177661895752</v>
      </c>
    </row>
    <row r="11" spans="1:8">
      <c r="A11" s="33" t="s">
        <v>8</v>
      </c>
      <c r="B11" s="32">
        <v>2015</v>
      </c>
      <c r="C11" s="30">
        <v>4.1219406127929688</v>
      </c>
      <c r="D11" s="31">
        <v>4086.6223465964995</v>
      </c>
      <c r="E11" s="30">
        <v>0.51737159490585327</v>
      </c>
      <c r="F11" s="30">
        <v>64.199996948242188</v>
      </c>
      <c r="G11" s="30">
        <v>0.63994497060775757</v>
      </c>
      <c r="H11" s="30">
        <v>-0.21042811870574951</v>
      </c>
    </row>
    <row r="12" spans="1:8">
      <c r="A12" s="33" t="s">
        <v>8</v>
      </c>
      <c r="B12" s="32">
        <v>2016</v>
      </c>
      <c r="C12" s="30">
        <v>4.4483861923217773</v>
      </c>
      <c r="D12" s="31">
        <v>4225.0915490480565</v>
      </c>
      <c r="E12" s="30">
        <v>0.53341227769851685</v>
      </c>
      <c r="F12" s="30">
        <v>64.324996948242188</v>
      </c>
      <c r="G12" s="30">
        <v>0.60646837949752808</v>
      </c>
      <c r="H12" s="30">
        <v>-0.25481438636779785</v>
      </c>
    </row>
    <row r="13" spans="1:8">
      <c r="A13" s="33" t="s">
        <v>8</v>
      </c>
      <c r="B13" s="32">
        <v>2017</v>
      </c>
      <c r="C13" s="30">
        <v>4.4507746696472168</v>
      </c>
      <c r="D13" s="31">
        <v>4442.5074412737404</v>
      </c>
      <c r="E13" s="30">
        <v>0.59049516916275024</v>
      </c>
      <c r="F13" s="30">
        <v>64.449996948242188</v>
      </c>
      <c r="G13" s="30">
        <v>0.82090878486633301</v>
      </c>
      <c r="H13" s="30">
        <v>-0.2495434433221817</v>
      </c>
    </row>
    <row r="14" spans="1:8">
      <c r="A14" s="33" t="s">
        <v>8</v>
      </c>
      <c r="B14" s="32">
        <v>2018</v>
      </c>
      <c r="C14" s="30">
        <v>4.6590971946716309</v>
      </c>
      <c r="D14" s="31">
        <v>4713.6535484530314</v>
      </c>
      <c r="E14" s="30">
        <v>0.61721855401992798</v>
      </c>
      <c r="F14" s="30">
        <v>64.574996948242188</v>
      </c>
      <c r="G14" s="30">
        <v>0.77514410018920898</v>
      </c>
      <c r="H14" s="30">
        <v>-0.23838350176811218</v>
      </c>
    </row>
    <row r="15" spans="1:8">
      <c r="A15" s="33" t="s">
        <v>8</v>
      </c>
      <c r="B15" s="32">
        <v>2019</v>
      </c>
      <c r="C15" s="30">
        <v>4.8918356895446777</v>
      </c>
      <c r="D15" s="31">
        <v>4975.8114819481389</v>
      </c>
      <c r="E15" s="30">
        <v>0.67497605085372925</v>
      </c>
      <c r="F15" s="30">
        <v>64.699996948242188</v>
      </c>
      <c r="G15" s="30">
        <v>0.81053411960601807</v>
      </c>
      <c r="H15" s="30">
        <v>-0.26528984308242798</v>
      </c>
    </row>
    <row r="17" spans="2:10">
      <c r="B17" t="s">
        <v>103</v>
      </c>
    </row>
    <row r="18" spans="2:10" ht="15.75" thickBot="1"/>
    <row r="19" spans="2:10">
      <c r="B19" s="19" t="s">
        <v>82</v>
      </c>
      <c r="C19" s="19"/>
    </row>
    <row r="20" spans="2:10">
      <c r="B20" t="s">
        <v>83</v>
      </c>
      <c r="C20">
        <v>0.93931678760193971</v>
      </c>
    </row>
    <row r="21" spans="2:10">
      <c r="B21" s="41" t="s">
        <v>84</v>
      </c>
      <c r="C21" s="41">
        <v>0.8823160274708276</v>
      </c>
    </row>
    <row r="22" spans="2:10">
      <c r="B22" t="s">
        <v>85</v>
      </c>
      <c r="C22">
        <v>0.80876354464009492</v>
      </c>
    </row>
    <row r="23" spans="2:10">
      <c r="B23" s="41" t="s">
        <v>20</v>
      </c>
      <c r="C23" s="41">
        <v>0.15029734725591617</v>
      </c>
    </row>
    <row r="24" spans="2:10" ht="15.75" thickBot="1">
      <c r="B24" s="12" t="s">
        <v>86</v>
      </c>
      <c r="C24" s="12">
        <v>14</v>
      </c>
    </row>
    <row r="26" spans="2:10" ht="15.75" thickBot="1">
      <c r="B26" t="s">
        <v>87</v>
      </c>
    </row>
    <row r="27" spans="2:10">
      <c r="B27" s="13"/>
      <c r="C27" s="13" t="s">
        <v>88</v>
      </c>
      <c r="D27" s="13" t="s">
        <v>89</v>
      </c>
      <c r="E27" s="13" t="s">
        <v>90</v>
      </c>
      <c r="F27" s="43" t="s">
        <v>91</v>
      </c>
      <c r="G27" s="43" t="s">
        <v>92</v>
      </c>
    </row>
    <row r="28" spans="2:10">
      <c r="B28" t="s">
        <v>93</v>
      </c>
      <c r="C28">
        <v>5</v>
      </c>
      <c r="D28">
        <v>1.3548757388083592</v>
      </c>
      <c r="E28">
        <v>0.27097514776167186</v>
      </c>
      <c r="F28" s="41">
        <v>11.995734114119758</v>
      </c>
      <c r="G28" s="41">
        <v>1.4924534217729689E-3</v>
      </c>
    </row>
    <row r="29" spans="2:10">
      <c r="B29" t="s">
        <v>94</v>
      </c>
      <c r="C29">
        <v>8</v>
      </c>
      <c r="D29">
        <v>0.18071434073732362</v>
      </c>
      <c r="E29">
        <v>2.2589292592165452E-2</v>
      </c>
    </row>
    <row r="30" spans="2:10" ht="15.75" thickBot="1">
      <c r="B30" s="12" t="s">
        <v>45</v>
      </c>
      <c r="C30" s="12">
        <v>13</v>
      </c>
      <c r="D30" s="12">
        <v>1.5355900795456829</v>
      </c>
      <c r="E30" s="12"/>
      <c r="F30" s="12"/>
      <c r="G30" s="12"/>
    </row>
    <row r="31" spans="2:10" ht="15.75" thickBot="1"/>
    <row r="32" spans="2:10">
      <c r="B32" s="13"/>
      <c r="C32" s="43" t="s">
        <v>95</v>
      </c>
      <c r="D32" s="13" t="s">
        <v>20</v>
      </c>
      <c r="E32" s="13" t="s">
        <v>96</v>
      </c>
      <c r="F32" s="43" t="s">
        <v>97</v>
      </c>
      <c r="G32" s="13" t="s">
        <v>98</v>
      </c>
      <c r="H32" s="13" t="s">
        <v>99</v>
      </c>
      <c r="I32" s="13" t="s">
        <v>104</v>
      </c>
      <c r="J32" s="13" t="s">
        <v>105</v>
      </c>
    </row>
    <row r="33" spans="2:10">
      <c r="B33" t="s">
        <v>102</v>
      </c>
      <c r="C33" s="42">
        <v>-22.879858809507169</v>
      </c>
      <c r="D33">
        <v>51.102005270988997</v>
      </c>
      <c r="E33">
        <v>-0.44772917790950645</v>
      </c>
      <c r="F33" s="41">
        <v>0.66622433700117767</v>
      </c>
      <c r="G33">
        <v>-140.72129428163294</v>
      </c>
      <c r="H33">
        <v>94.961576662618597</v>
      </c>
      <c r="I33">
        <v>-140.72129428163294</v>
      </c>
      <c r="J33">
        <v>94.961576662618597</v>
      </c>
    </row>
    <row r="34" spans="2:10">
      <c r="B34" t="s">
        <v>3</v>
      </c>
      <c r="C34" s="42">
        <v>6.8893160274248686E-5</v>
      </c>
      <c r="D34">
        <v>5.0056607320585092E-4</v>
      </c>
      <c r="E34">
        <v>0.1376305026687602</v>
      </c>
      <c r="F34" s="41">
        <v>0.89393341644181612</v>
      </c>
      <c r="G34">
        <v>-1.0854142744813554E-3</v>
      </c>
      <c r="H34">
        <v>1.2232005950298529E-3</v>
      </c>
      <c r="I34">
        <v>-1.0854142744813554E-3</v>
      </c>
      <c r="J34">
        <v>1.2232005950298529E-3</v>
      </c>
    </row>
    <row r="35" spans="2:10">
      <c r="B35" t="s">
        <v>4</v>
      </c>
      <c r="C35" s="42">
        <v>0.20642450888635569</v>
      </c>
      <c r="D35">
        <v>0.95584409262505765</v>
      </c>
      <c r="E35">
        <v>0.21596043798256584</v>
      </c>
      <c r="F35" s="41">
        <v>0.83442328139839572</v>
      </c>
      <c r="G35">
        <v>-1.9977559213175022</v>
      </c>
      <c r="H35">
        <v>2.4106049390902138</v>
      </c>
      <c r="I35">
        <v>-1.9977559213175022</v>
      </c>
      <c r="J35">
        <v>2.4106049390902138</v>
      </c>
    </row>
    <row r="36" spans="2:10">
      <c r="B36" t="s">
        <v>5</v>
      </c>
      <c r="C36" s="42">
        <v>0.40186521039961598</v>
      </c>
      <c r="D36">
        <v>0.82340563440095083</v>
      </c>
      <c r="E36">
        <v>0.4880525388825927</v>
      </c>
      <c r="F36" s="41">
        <v>0.63860742449366015</v>
      </c>
      <c r="G36">
        <v>-1.4969115874793872</v>
      </c>
      <c r="H36">
        <v>2.3006420082786194</v>
      </c>
      <c r="I36">
        <v>-1.4969115874793872</v>
      </c>
      <c r="J36">
        <v>2.3006420082786194</v>
      </c>
    </row>
    <row r="37" spans="2:10">
      <c r="B37" t="s">
        <v>6</v>
      </c>
      <c r="C37" s="42">
        <v>0.94230903801563404</v>
      </c>
      <c r="D37">
        <v>0.79137175672198468</v>
      </c>
      <c r="E37">
        <v>1.1907286683048444</v>
      </c>
      <c r="F37" s="41">
        <v>0.26788987220389754</v>
      </c>
      <c r="G37">
        <v>-0.88259750546904869</v>
      </c>
      <c r="H37">
        <v>2.7672155815003165</v>
      </c>
      <c r="I37">
        <v>-0.88259750546904869</v>
      </c>
      <c r="J37">
        <v>2.7672155815003165</v>
      </c>
    </row>
    <row r="38" spans="2:10" ht="15.75" thickBot="1">
      <c r="B38" s="12" t="s">
        <v>7</v>
      </c>
      <c r="C38" s="40">
        <v>-1.6457538285370135</v>
      </c>
      <c r="D38" s="12">
        <v>2.4038289738273604</v>
      </c>
      <c r="E38" s="12">
        <v>-0.68463848570585084</v>
      </c>
      <c r="F38" s="39">
        <v>0.51291468851887156</v>
      </c>
      <c r="G38" s="12">
        <v>-7.1889933825064958</v>
      </c>
      <c r="H38" s="12">
        <v>3.8974857254324693</v>
      </c>
      <c r="I38" s="12">
        <v>-7.1889933825064958</v>
      </c>
      <c r="J38" s="12">
        <v>3.8974857254324693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91E8E-8EF9-4BD7-A0B3-856485D8B306}">
  <dimension ref="A1:J40"/>
  <sheetViews>
    <sheetView zoomScale="74" workbookViewId="0">
      <selection activeCell="J20" sqref="J20"/>
    </sheetView>
  </sheetViews>
  <sheetFormatPr defaultColWidth="12.5703125" defaultRowHeight="15.75"/>
  <cols>
    <col min="1" max="16384" width="12.5703125" style="60"/>
  </cols>
  <sheetData>
    <row r="1" spans="1:8">
      <c r="A1" s="63" t="s">
        <v>0</v>
      </c>
      <c r="B1" s="63" t="s">
        <v>1</v>
      </c>
      <c r="C1" s="62" t="s">
        <v>2</v>
      </c>
      <c r="D1" s="73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8">
      <c r="A2" s="63" t="s">
        <v>9</v>
      </c>
      <c r="B2" s="61">
        <v>2006</v>
      </c>
      <c r="C2" s="62">
        <v>4.2893109321594238</v>
      </c>
      <c r="D2" s="72">
        <v>2551.4354635845211</v>
      </c>
      <c r="E2" s="62">
        <v>0.6818767786026001</v>
      </c>
      <c r="F2" s="62">
        <v>63.840000152587891</v>
      </c>
      <c r="G2" s="62">
        <v>0.52019780874252319</v>
      </c>
      <c r="H2" s="62">
        <v>-0.23490116000175476</v>
      </c>
    </row>
    <row r="3" spans="1:8">
      <c r="A3" s="63" t="s">
        <v>9</v>
      </c>
      <c r="B3" s="61">
        <v>2007</v>
      </c>
      <c r="C3" s="62">
        <v>4.8815155029296875</v>
      </c>
      <c r="D3" s="72">
        <v>2919.3734936373035</v>
      </c>
      <c r="E3" s="62">
        <v>0.75964432954788208</v>
      </c>
      <c r="F3" s="62">
        <v>64.080001831054688</v>
      </c>
      <c r="G3" s="62">
        <v>0.60541075468063354</v>
      </c>
      <c r="H3" s="62">
        <v>-0.25497710704803467</v>
      </c>
    </row>
    <row r="4" spans="1:8">
      <c r="A4" s="63" t="s">
        <v>9</v>
      </c>
      <c r="B4" s="61">
        <v>2008</v>
      </c>
      <c r="C4" s="62">
        <v>4.6519722938537598</v>
      </c>
      <c r="D4" s="72">
        <v>3141.3319350077413</v>
      </c>
      <c r="E4" s="62">
        <v>0.70948553085327148</v>
      </c>
      <c r="F4" s="62">
        <v>64.319999694824219</v>
      </c>
      <c r="G4" s="62">
        <v>0.46215656399726868</v>
      </c>
      <c r="H4" s="62">
        <v>-0.21904514729976654</v>
      </c>
    </row>
    <row r="5" spans="1:8">
      <c r="A5" s="63" t="s">
        <v>9</v>
      </c>
      <c r="B5" s="61">
        <v>2009</v>
      </c>
      <c r="C5" s="62">
        <v>4.177581787109375</v>
      </c>
      <c r="D5" s="72">
        <v>2716.974362804709</v>
      </c>
      <c r="E5" s="62">
        <v>0.68000692129135132</v>
      </c>
      <c r="F5" s="62">
        <v>64.55999755859375</v>
      </c>
      <c r="G5" s="62">
        <v>0.44141274690628052</v>
      </c>
      <c r="H5" s="62">
        <v>-0.21777066588401794</v>
      </c>
    </row>
    <row r="6" spans="1:8">
      <c r="A6" s="63" t="s">
        <v>9</v>
      </c>
      <c r="B6" s="61">
        <v>2010</v>
      </c>
      <c r="C6" s="62">
        <v>4.3678112030029297</v>
      </c>
      <c r="D6" s="72">
        <v>2796.0814342804319</v>
      </c>
      <c r="E6" s="62">
        <v>0.66034233570098877</v>
      </c>
      <c r="F6" s="62">
        <v>64.800003051757813</v>
      </c>
      <c r="G6" s="62">
        <v>0.45925670862197876</v>
      </c>
      <c r="H6" s="62">
        <v>-0.17998570203781128</v>
      </c>
    </row>
    <row r="7" spans="1:8">
      <c r="A7" s="63" t="s">
        <v>9</v>
      </c>
      <c r="B7" s="61">
        <v>2011</v>
      </c>
      <c r="C7" s="62">
        <v>4.2604913711547852</v>
      </c>
      <c r="D7" s="72">
        <v>2943.8368711931512</v>
      </c>
      <c r="E7" s="62">
        <v>0.70510846376419067</v>
      </c>
      <c r="F7" s="62">
        <v>65.040000915527344</v>
      </c>
      <c r="G7" s="62">
        <v>0.46452471613883972</v>
      </c>
      <c r="H7" s="62">
        <v>-0.22973772883415222</v>
      </c>
    </row>
    <row r="8" spans="1:8">
      <c r="A8" s="63" t="s">
        <v>9</v>
      </c>
      <c r="B8" s="61">
        <v>2012</v>
      </c>
      <c r="C8" s="62">
        <v>4.3197116851806641</v>
      </c>
      <c r="D8" s="72">
        <v>3159.7586078688928</v>
      </c>
      <c r="E8" s="62">
        <v>0.67644643783569336</v>
      </c>
      <c r="F8" s="62">
        <v>65.279998779296875</v>
      </c>
      <c r="G8" s="62">
        <v>0.50186377763748169</v>
      </c>
      <c r="H8" s="62">
        <v>-0.22002717852592468</v>
      </c>
    </row>
    <row r="9" spans="1:8">
      <c r="A9" s="63" t="s">
        <v>9</v>
      </c>
      <c r="B9" s="61">
        <v>2013</v>
      </c>
      <c r="C9" s="62">
        <v>4.277191162109375</v>
      </c>
      <c r="D9" s="72">
        <v>3266.2988299987346</v>
      </c>
      <c r="E9" s="62">
        <v>0.72326004505157471</v>
      </c>
      <c r="F9" s="62">
        <v>65.519996643066406</v>
      </c>
      <c r="G9" s="62">
        <v>0.5040818452835083</v>
      </c>
      <c r="H9" s="62">
        <v>-0.20098087191581726</v>
      </c>
    </row>
    <row r="10" spans="1:8">
      <c r="A10" s="63" t="s">
        <v>9</v>
      </c>
      <c r="B10" s="61">
        <v>2014</v>
      </c>
      <c r="C10" s="62">
        <v>4.4530830383300781</v>
      </c>
      <c r="D10" s="72">
        <v>3393.0925232688396</v>
      </c>
      <c r="E10" s="62">
        <v>0.73876351118087769</v>
      </c>
      <c r="F10" s="62">
        <v>65.760002136230469</v>
      </c>
      <c r="G10" s="62">
        <v>0.50648713111877441</v>
      </c>
      <c r="H10" s="62">
        <v>-0.22462782263755798</v>
      </c>
    </row>
    <row r="11" spans="1:8">
      <c r="A11" s="63" t="s">
        <v>9</v>
      </c>
      <c r="B11" s="61">
        <v>2015</v>
      </c>
      <c r="C11" s="62">
        <v>4.3483195304870605</v>
      </c>
      <c r="D11" s="72">
        <v>3512.3935027670905</v>
      </c>
      <c r="E11" s="62">
        <v>0.72255104780197144</v>
      </c>
      <c r="F11" s="62">
        <v>66</v>
      </c>
      <c r="G11" s="62">
        <v>0.55102664232254028</v>
      </c>
      <c r="H11" s="62">
        <v>-0.20938660204410553</v>
      </c>
    </row>
    <row r="12" spans="1:8">
      <c r="A12" s="63" t="s">
        <v>9</v>
      </c>
      <c r="B12" s="61">
        <v>2016</v>
      </c>
      <c r="C12" s="62">
        <v>4.3254718780517578</v>
      </c>
      <c r="D12" s="72">
        <v>3533.8850360700676</v>
      </c>
      <c r="E12" s="62">
        <v>0.70921832323074341</v>
      </c>
      <c r="F12" s="62">
        <v>66.275001525878906</v>
      </c>
      <c r="G12" s="62">
        <v>0.61098694801330566</v>
      </c>
      <c r="H12" s="62">
        <v>-0.17776034772396088</v>
      </c>
    </row>
    <row r="13" spans="1:8">
      <c r="A13" s="63" t="s">
        <v>9</v>
      </c>
      <c r="B13" s="61">
        <v>2017</v>
      </c>
      <c r="C13" s="62">
        <v>4.2877364158630371</v>
      </c>
      <c r="D13" s="72">
        <v>3815.3747426037021</v>
      </c>
      <c r="E13" s="62">
        <v>0.6979249119758606</v>
      </c>
      <c r="F13" s="62">
        <v>66.550003051757813</v>
      </c>
      <c r="G13" s="62">
        <v>0.61369705200195313</v>
      </c>
      <c r="H13" s="62">
        <v>-0.15476050972938538</v>
      </c>
    </row>
    <row r="14" spans="1:8">
      <c r="A14" s="63" t="s">
        <v>9</v>
      </c>
      <c r="B14" s="61">
        <v>2018</v>
      </c>
      <c r="C14" s="62">
        <v>5.0624485015869141</v>
      </c>
      <c r="D14" s="72">
        <v>4027.8339301097853</v>
      </c>
      <c r="E14" s="62">
        <v>0.8144490122795105</v>
      </c>
      <c r="F14" s="62">
        <v>66.824996948242188</v>
      </c>
      <c r="G14" s="62">
        <v>0.80764365196228027</v>
      </c>
      <c r="H14" s="62">
        <v>-0.17107826471328735</v>
      </c>
    </row>
    <row r="15" spans="1:8">
      <c r="A15" s="63" t="s">
        <v>9</v>
      </c>
      <c r="B15" s="61">
        <v>2019</v>
      </c>
      <c r="C15" s="62">
        <v>5.4880867004394531</v>
      </c>
      <c r="D15" s="72">
        <v>4343.4583958301937</v>
      </c>
      <c r="E15" s="62">
        <v>0.78160387277603149</v>
      </c>
      <c r="F15" s="62">
        <v>67.099998474121094</v>
      </c>
      <c r="G15" s="62">
        <v>0.84432411193847656</v>
      </c>
      <c r="H15" s="62">
        <v>-0.18142963945865631</v>
      </c>
    </row>
    <row r="19" spans="2:7">
      <c r="B19" s="60" t="s">
        <v>103</v>
      </c>
    </row>
    <row r="20" spans="2:7" ht="16.5" thickBot="1"/>
    <row r="21" spans="2:7">
      <c r="B21" s="71" t="s">
        <v>82</v>
      </c>
      <c r="C21" s="71"/>
    </row>
    <row r="22" spans="2:7">
      <c r="B22" s="60" t="s">
        <v>83</v>
      </c>
      <c r="C22" s="60">
        <v>0.93338357463983723</v>
      </c>
    </row>
    <row r="23" spans="2:7">
      <c r="B23" s="60" t="s">
        <v>84</v>
      </c>
      <c r="C23" s="69">
        <v>0.871204897407441</v>
      </c>
    </row>
    <row r="24" spans="2:7">
      <c r="B24" s="60" t="s">
        <v>85</v>
      </c>
      <c r="C24" s="60">
        <v>0.79070795828709095</v>
      </c>
    </row>
    <row r="25" spans="2:7">
      <c r="B25" s="60" t="s">
        <v>20</v>
      </c>
      <c r="C25" s="69">
        <v>0.17326749911175759</v>
      </c>
    </row>
    <row r="26" spans="2:7" ht="16.5" thickBot="1">
      <c r="B26" s="64" t="s">
        <v>86</v>
      </c>
      <c r="C26" s="64">
        <v>14</v>
      </c>
    </row>
    <row r="28" spans="2:7" ht="16.5" thickBot="1">
      <c r="B28" s="60" t="s">
        <v>87</v>
      </c>
    </row>
    <row r="29" spans="2:7">
      <c r="B29" s="65"/>
      <c r="C29" s="65" t="s">
        <v>88</v>
      </c>
      <c r="D29" s="65" t="s">
        <v>89</v>
      </c>
      <c r="E29" s="65" t="s">
        <v>90</v>
      </c>
      <c r="F29" s="65" t="s">
        <v>91</v>
      </c>
      <c r="G29" s="65" t="s">
        <v>92</v>
      </c>
    </row>
    <row r="30" spans="2:7">
      <c r="B30" s="60" t="s">
        <v>93</v>
      </c>
      <c r="C30" s="60">
        <v>5</v>
      </c>
      <c r="D30" s="60">
        <v>1.6245951772573197</v>
      </c>
      <c r="E30" s="60">
        <v>0.32491903545146394</v>
      </c>
      <c r="F30" s="69">
        <v>10.822832606155572</v>
      </c>
      <c r="G30" s="69">
        <v>2.1097016840946393E-3</v>
      </c>
    </row>
    <row r="31" spans="2:7">
      <c r="B31" s="60" t="s">
        <v>94</v>
      </c>
      <c r="C31" s="60">
        <v>8</v>
      </c>
      <c r="D31" s="60">
        <v>0.24017300998754332</v>
      </c>
      <c r="E31" s="60">
        <v>3.0021626248442915E-2</v>
      </c>
    </row>
    <row r="32" spans="2:7" ht="16.5" thickBot="1">
      <c r="B32" s="64" t="s">
        <v>45</v>
      </c>
      <c r="C32" s="64">
        <v>13</v>
      </c>
      <c r="D32" s="64">
        <v>1.8647681872448629</v>
      </c>
      <c r="E32" s="64"/>
      <c r="F32" s="64"/>
      <c r="G32" s="64"/>
    </row>
    <row r="33" spans="2:10" ht="16.5" thickBot="1"/>
    <row r="34" spans="2:10">
      <c r="B34" s="65"/>
      <c r="C34" s="65" t="s">
        <v>95</v>
      </c>
      <c r="D34" s="65" t="s">
        <v>20</v>
      </c>
      <c r="E34" s="65" t="s">
        <v>96</v>
      </c>
      <c r="F34" s="65" t="s">
        <v>97</v>
      </c>
      <c r="G34" s="65" t="s">
        <v>98</v>
      </c>
      <c r="H34" s="65" t="s">
        <v>99</v>
      </c>
      <c r="I34" s="65" t="s">
        <v>100</v>
      </c>
      <c r="J34" s="65" t="s">
        <v>101</v>
      </c>
    </row>
    <row r="35" spans="2:10">
      <c r="B35" s="60" t="s">
        <v>102</v>
      </c>
      <c r="C35" s="60">
        <v>25.474034623175655</v>
      </c>
      <c r="D35" s="60">
        <v>10.299554809475273</v>
      </c>
      <c r="E35" s="60">
        <v>2.4733141474950284</v>
      </c>
      <c r="F35" s="60">
        <v>3.8510954143594907E-2</v>
      </c>
      <c r="G35" s="60">
        <v>1.723218641763707</v>
      </c>
      <c r="H35" s="60">
        <v>49.224850604587601</v>
      </c>
      <c r="I35" s="60">
        <v>1.723218641763707</v>
      </c>
      <c r="J35" s="60">
        <v>49.224850604587601</v>
      </c>
    </row>
    <row r="36" spans="2:10">
      <c r="B36" s="60" t="s">
        <v>106</v>
      </c>
      <c r="C36" s="69">
        <v>7.4891390137772195E-4</v>
      </c>
      <c r="D36" s="60">
        <v>3.83166235758167E-4</v>
      </c>
      <c r="E36" s="60">
        <v>1.9545404356828411</v>
      </c>
      <c r="F36" s="60">
        <v>8.6383968697098648E-2</v>
      </c>
      <c r="G36" s="60">
        <v>-1.3466902275122597E-4</v>
      </c>
      <c r="H36" s="60">
        <v>1.63249682550667E-3</v>
      </c>
      <c r="I36" s="60">
        <v>-1.3466902275122597E-4</v>
      </c>
      <c r="J36" s="60">
        <v>1.63249682550667E-3</v>
      </c>
    </row>
    <row r="37" spans="2:10">
      <c r="B37" s="60" t="s">
        <v>107</v>
      </c>
      <c r="C37" s="69">
        <v>1.6009445417682953</v>
      </c>
      <c r="D37" s="60">
        <v>2.511901642204748</v>
      </c>
      <c r="E37" s="60">
        <v>0.63734364231041829</v>
      </c>
      <c r="F37" s="60">
        <v>0.54170709952311025</v>
      </c>
      <c r="G37" s="60">
        <v>-4.1915110323819915</v>
      </c>
      <c r="H37" s="60">
        <v>7.393400115918582</v>
      </c>
      <c r="I37" s="60">
        <v>-4.1915110323819915</v>
      </c>
      <c r="J37" s="60">
        <v>7.393400115918582</v>
      </c>
    </row>
    <row r="38" spans="2:10">
      <c r="B38" s="60" t="s">
        <v>78</v>
      </c>
      <c r="C38" s="69">
        <v>-0.39281818949774705</v>
      </c>
      <c r="D38" s="60">
        <v>0.16512588155041502</v>
      </c>
      <c r="E38" s="60">
        <v>-2.3789013921346709</v>
      </c>
      <c r="F38" s="69">
        <v>4.4622124639052199E-2</v>
      </c>
      <c r="G38" s="60">
        <v>-0.77359915518223754</v>
      </c>
      <c r="H38" s="60">
        <v>-1.2037223813256521E-2</v>
      </c>
      <c r="I38" s="60">
        <v>-0.77359915518223754</v>
      </c>
      <c r="J38" s="60">
        <v>-1.2037223813256521E-2</v>
      </c>
    </row>
    <row r="39" spans="2:10">
      <c r="B39" s="60" t="s">
        <v>17</v>
      </c>
      <c r="C39" s="69">
        <v>1.8704482642981621</v>
      </c>
      <c r="D39" s="60">
        <v>0.92841041593964413</v>
      </c>
      <c r="E39" s="60">
        <v>2.0146782416320499</v>
      </c>
      <c r="F39" s="60">
        <v>7.8705355155727019E-2</v>
      </c>
      <c r="G39" s="60">
        <v>-0.27046999402527805</v>
      </c>
      <c r="H39" s="60">
        <v>4.0113665226216026</v>
      </c>
      <c r="I39" s="60">
        <v>-0.27046999402527805</v>
      </c>
      <c r="J39" s="60">
        <v>4.0113665226216026</v>
      </c>
    </row>
    <row r="40" spans="2:10" ht="16.5" thickBot="1">
      <c r="B40" s="64" t="s">
        <v>18</v>
      </c>
      <c r="C40" s="70">
        <v>-0.32857662265621346</v>
      </c>
      <c r="D40" s="64">
        <v>3.2485163790352791</v>
      </c>
      <c r="E40" s="64">
        <v>-0.10114667260929489</v>
      </c>
      <c r="F40" s="64">
        <v>0.92192310344520345</v>
      </c>
      <c r="G40" s="64">
        <v>-7.8196688259900347</v>
      </c>
      <c r="H40" s="64">
        <v>7.1625155806776082</v>
      </c>
      <c r="I40" s="64">
        <v>-7.8196688259900347</v>
      </c>
      <c r="J40" s="64">
        <v>7.1625155806776082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9A99-6F7C-4328-BEC7-93DCF820F33C}">
  <dimension ref="A1:I38"/>
  <sheetViews>
    <sheetView zoomScale="78" zoomScaleNormal="70" workbookViewId="0">
      <selection activeCell="I49" sqref="I49"/>
    </sheetView>
  </sheetViews>
  <sheetFormatPr defaultRowHeight="15"/>
  <cols>
    <col min="1" max="1" width="26.7109375" customWidth="1"/>
    <col min="2" max="2" width="16.85546875" customWidth="1"/>
    <col min="3" max="3" width="16.42578125" customWidth="1"/>
    <col min="4" max="4" width="21.42578125" customWidth="1"/>
    <col min="5" max="5" width="16.140625" customWidth="1"/>
    <col min="6" max="6" width="29.140625" customWidth="1"/>
    <col min="7" max="7" width="27.42578125" customWidth="1"/>
    <col min="8" max="8" width="9.85546875" customWidth="1"/>
    <col min="9" max="9" width="12.42578125" customWidth="1"/>
  </cols>
  <sheetData>
    <row r="1" spans="1:8">
      <c r="A1" s="98" t="s">
        <v>0</v>
      </c>
      <c r="B1" s="98" t="s">
        <v>1</v>
      </c>
      <c r="C1" s="97" t="s">
        <v>2</v>
      </c>
      <c r="D1" s="1" t="s">
        <v>108</v>
      </c>
      <c r="E1" s="97" t="s">
        <v>4</v>
      </c>
      <c r="F1" s="97" t="s">
        <v>5</v>
      </c>
      <c r="G1" s="97" t="s">
        <v>6</v>
      </c>
      <c r="H1" s="97" t="s">
        <v>7</v>
      </c>
    </row>
    <row r="2" spans="1:8">
      <c r="A2" s="49" t="s">
        <v>30</v>
      </c>
      <c r="B2" s="50">
        <v>2006</v>
      </c>
      <c r="C2" s="48">
        <v>4.7278709411621094</v>
      </c>
      <c r="D2">
        <v>3501.1648250060261</v>
      </c>
      <c r="E2" s="48">
        <v>0.85441488027572632</v>
      </c>
      <c r="F2" s="48">
        <v>60.580001831054688</v>
      </c>
      <c r="G2" s="48">
        <v>0.77152818441390991</v>
      </c>
      <c r="H2" s="48">
        <v>-0.2392495721578598</v>
      </c>
    </row>
    <row r="3" spans="1:8">
      <c r="A3" s="49" t="s">
        <v>30</v>
      </c>
      <c r="B3" s="50">
        <v>2007</v>
      </c>
      <c r="C3" s="48">
        <v>4.5681595802307129</v>
      </c>
      <c r="D3">
        <v>4327.1136046884812</v>
      </c>
      <c r="E3" s="48">
        <v>0.75324678421020508</v>
      </c>
      <c r="F3" s="48">
        <v>60.860000610351563</v>
      </c>
      <c r="G3" s="48">
        <v>0.52204632759094238</v>
      </c>
      <c r="H3" s="48">
        <v>-0.21111249923706055</v>
      </c>
    </row>
    <row r="4" spans="1:8">
      <c r="A4" s="49" t="s">
        <v>30</v>
      </c>
      <c r="B4" s="50">
        <v>2008</v>
      </c>
      <c r="C4" s="48">
        <v>4.8171892166137695</v>
      </c>
      <c r="D4">
        <v>4693.0770796811566</v>
      </c>
      <c r="E4" s="48">
        <v>0.68426722288131714</v>
      </c>
      <c r="F4" s="48">
        <v>61.139999389648438</v>
      </c>
      <c r="G4" s="48">
        <v>0.60104328393936157</v>
      </c>
      <c r="H4" s="48">
        <v>-3.381616622209549E-2</v>
      </c>
    </row>
    <row r="5" spans="1:8">
      <c r="A5" s="49" t="s">
        <v>30</v>
      </c>
      <c r="B5" s="50">
        <v>2009</v>
      </c>
      <c r="C5" s="48">
        <v>4.5737252235412598</v>
      </c>
      <c r="D5">
        <v>5023.9672905028019</v>
      </c>
      <c r="E5" s="48">
        <v>0.73597031831741333</v>
      </c>
      <c r="F5" s="48">
        <v>61.419998168945313</v>
      </c>
      <c r="G5" s="48">
        <v>0.49813839793205261</v>
      </c>
      <c r="H5" s="48">
        <v>-9.1217078268527985E-2</v>
      </c>
    </row>
    <row r="6" spans="1:8">
      <c r="A6" s="49" t="s">
        <v>30</v>
      </c>
      <c r="B6" s="50">
        <v>2010</v>
      </c>
      <c r="C6" s="48">
        <v>4.2186107635498047</v>
      </c>
      <c r="D6">
        <v>5215.2041542949592</v>
      </c>
      <c r="E6" s="48">
        <v>0.68700098991394043</v>
      </c>
      <c r="F6" s="48">
        <v>61.700000762939453</v>
      </c>
      <c r="G6" s="48">
        <v>0.50107109546661377</v>
      </c>
      <c r="H6" s="48">
        <v>-0.1277264803647995</v>
      </c>
    </row>
    <row r="7" spans="1:8">
      <c r="A7" s="49" t="s">
        <v>30</v>
      </c>
      <c r="B7" s="50">
        <v>2011</v>
      </c>
      <c r="C7" s="48">
        <v>4.6804695129394531</v>
      </c>
      <c r="D7">
        <v>5152.838502447441</v>
      </c>
      <c r="E7" s="48">
        <v>0.72519391775131226</v>
      </c>
      <c r="F7" s="48">
        <v>61.979999542236328</v>
      </c>
      <c r="G7" s="48">
        <v>0.53748428821563721</v>
      </c>
      <c r="H7" s="48">
        <v>-0.11023659259080887</v>
      </c>
    </row>
    <row r="8" spans="1:8">
      <c r="A8" s="49" t="s">
        <v>30</v>
      </c>
      <c r="B8" s="50">
        <v>2012</v>
      </c>
      <c r="C8" s="48">
        <v>4.9107718467712402</v>
      </c>
      <c r="D8">
        <v>5194.9209166508335</v>
      </c>
      <c r="E8" s="48">
        <v>0.76187324523925781</v>
      </c>
      <c r="F8" s="48">
        <v>62.259998321533203</v>
      </c>
      <c r="G8" s="48">
        <v>0.59885907173156738</v>
      </c>
      <c r="H8" s="48">
        <v>-0.14562302827835083</v>
      </c>
    </row>
    <row r="9" spans="1:8">
      <c r="A9" s="49" t="s">
        <v>30</v>
      </c>
      <c r="B9" s="50">
        <v>2013</v>
      </c>
      <c r="C9" s="48">
        <v>5.4811782836914063</v>
      </c>
      <c r="D9">
        <v>5426.0959415596126</v>
      </c>
      <c r="E9" s="48">
        <v>0.76969015598297119</v>
      </c>
      <c r="F9" s="48">
        <v>62.540000915527344</v>
      </c>
      <c r="G9" s="48">
        <v>0.67195695638656616</v>
      </c>
      <c r="H9" s="48">
        <v>-0.1734439879655838</v>
      </c>
    </row>
    <row r="10" spans="1:8">
      <c r="A10" s="49" t="s">
        <v>30</v>
      </c>
      <c r="B10" s="50">
        <v>2014</v>
      </c>
      <c r="C10" s="48">
        <v>5.2515301704406738</v>
      </c>
      <c r="D10">
        <v>5506.1816960031856</v>
      </c>
      <c r="E10" s="48">
        <v>0.79943335056304932</v>
      </c>
      <c r="F10" s="48">
        <v>62.819999694824219</v>
      </c>
      <c r="G10" s="48">
        <v>0.73277294635772705</v>
      </c>
      <c r="H10" s="48">
        <v>-0.21381649374961853</v>
      </c>
    </row>
    <row r="11" spans="1:8">
      <c r="A11" s="49" t="s">
        <v>30</v>
      </c>
      <c r="B11" s="50">
        <v>2015</v>
      </c>
      <c r="C11" s="48">
        <v>5.1467747688293457</v>
      </c>
      <c r="D11">
        <v>5500.503646284862</v>
      </c>
      <c r="E11" s="48">
        <v>0.78570276498794556</v>
      </c>
      <c r="F11" s="48">
        <v>63.099998474121094</v>
      </c>
      <c r="G11" s="48">
        <v>0.7642894983291626</v>
      </c>
      <c r="H11" s="48">
        <v>-0.20340487360954285</v>
      </c>
    </row>
    <row r="12" spans="1:8">
      <c r="A12" s="49" t="s">
        <v>30</v>
      </c>
      <c r="B12" s="50">
        <v>2016</v>
      </c>
      <c r="C12" s="48">
        <v>5.3038949966430664</v>
      </c>
      <c r="D12">
        <v>5270.7381657120031</v>
      </c>
      <c r="E12" s="48">
        <v>0.77727103233337402</v>
      </c>
      <c r="F12" s="48">
        <v>63.224998474121094</v>
      </c>
      <c r="G12" s="48">
        <v>0.71257317066192627</v>
      </c>
      <c r="H12" s="48">
        <v>-0.20979988574981689</v>
      </c>
    </row>
    <row r="13" spans="1:8">
      <c r="A13" s="49" t="s">
        <v>30</v>
      </c>
      <c r="B13" s="50">
        <v>2017</v>
      </c>
      <c r="C13" s="48">
        <v>5.1522793769836426</v>
      </c>
      <c r="D13">
        <v>5229.7098898585955</v>
      </c>
      <c r="E13" s="48">
        <v>0.78703939914703369</v>
      </c>
      <c r="F13" s="48">
        <v>63.349998474121094</v>
      </c>
      <c r="G13" s="48">
        <v>0.73103046417236328</v>
      </c>
      <c r="H13" s="48">
        <v>-0.23079732060432434</v>
      </c>
    </row>
    <row r="14" spans="1:8">
      <c r="A14" s="49" t="s">
        <v>30</v>
      </c>
      <c r="B14" s="50">
        <v>2018</v>
      </c>
      <c r="C14" s="48">
        <v>5.1679954528808594</v>
      </c>
      <c r="D14">
        <v>5262.3687047336762</v>
      </c>
      <c r="E14" s="48">
        <v>0.78122991323471069</v>
      </c>
      <c r="F14" s="48">
        <v>63.474998474121094</v>
      </c>
      <c r="G14" s="48">
        <v>0.77244925498962402</v>
      </c>
      <c r="H14" s="48">
        <v>-0.23728296160697937</v>
      </c>
    </row>
    <row r="15" spans="1:8">
      <c r="A15" s="49" t="s">
        <v>30</v>
      </c>
      <c r="B15" s="50">
        <v>2019</v>
      </c>
      <c r="C15" s="48">
        <v>5.1733894348144531</v>
      </c>
      <c r="D15">
        <v>5348.4531885182314</v>
      </c>
      <c r="E15" s="48">
        <v>0.88675642013549805</v>
      </c>
      <c r="F15" s="48">
        <v>63.599998474121094</v>
      </c>
      <c r="G15" s="48">
        <v>0.8542485237121582</v>
      </c>
      <c r="H15" s="48">
        <v>-0.22002698481082916</v>
      </c>
    </row>
    <row r="17" spans="1:9">
      <c r="A17" t="s">
        <v>103</v>
      </c>
    </row>
    <row r="18" spans="1:9" ht="15.75" thickBot="1"/>
    <row r="19" spans="1:9">
      <c r="A19" s="19" t="s">
        <v>82</v>
      </c>
      <c r="B19" s="19"/>
    </row>
    <row r="20" spans="1:9">
      <c r="A20" t="s">
        <v>83</v>
      </c>
      <c r="B20">
        <v>0.83102112296061414</v>
      </c>
    </row>
    <row r="21" spans="1:9">
      <c r="A21" s="41" t="s">
        <v>84</v>
      </c>
      <c r="B21" s="41">
        <v>0.69059610680672023</v>
      </c>
    </row>
    <row r="22" spans="1:9">
      <c r="A22" s="41" t="s">
        <v>85</v>
      </c>
      <c r="B22" s="41">
        <v>0.49721867356092031</v>
      </c>
    </row>
    <row r="23" spans="1:9">
      <c r="A23" s="41" t="s">
        <v>20</v>
      </c>
      <c r="B23" s="41">
        <v>0.25167350234953961</v>
      </c>
    </row>
    <row r="24" spans="1:9" ht="15.75" thickBot="1">
      <c r="A24" s="12" t="s">
        <v>86</v>
      </c>
      <c r="B24" s="12">
        <v>14</v>
      </c>
    </row>
    <row r="26" spans="1:9" ht="15.75" thickBot="1">
      <c r="A26" t="s">
        <v>87</v>
      </c>
    </row>
    <row r="27" spans="1:9">
      <c r="A27" s="13"/>
      <c r="B27" s="13" t="s">
        <v>88</v>
      </c>
      <c r="C27" s="13" t="s">
        <v>89</v>
      </c>
      <c r="D27" s="13" t="s">
        <v>90</v>
      </c>
      <c r="E27" s="43" t="s">
        <v>91</v>
      </c>
      <c r="F27" s="43" t="s">
        <v>92</v>
      </c>
    </row>
    <row r="28" spans="1:9">
      <c r="A28" t="s">
        <v>93</v>
      </c>
      <c r="B28">
        <v>5</v>
      </c>
      <c r="C28">
        <v>1.1310018737792253</v>
      </c>
      <c r="D28">
        <v>0.22620037475584506</v>
      </c>
      <c r="E28" s="41">
        <v>3.5712342190875574</v>
      </c>
      <c r="F28" s="41">
        <v>5.4068035870315438E-2</v>
      </c>
    </row>
    <row r="29" spans="1:9">
      <c r="A29" t="s">
        <v>94</v>
      </c>
      <c r="B29">
        <v>8</v>
      </c>
      <c r="C29">
        <v>0.50671641427906966</v>
      </c>
      <c r="D29">
        <v>6.3339551784883708E-2</v>
      </c>
    </row>
    <row r="30" spans="1:9" ht="15.75" thickBot="1">
      <c r="A30" s="12" t="s">
        <v>45</v>
      </c>
      <c r="B30" s="12">
        <v>13</v>
      </c>
      <c r="C30" s="12">
        <v>1.637718288058295</v>
      </c>
      <c r="D30" s="12"/>
      <c r="E30" s="12"/>
      <c r="F30" s="12"/>
    </row>
    <row r="31" spans="1:9" ht="15.75" thickBot="1"/>
    <row r="32" spans="1:9">
      <c r="A32" s="13"/>
      <c r="B32" s="13" t="s">
        <v>95</v>
      </c>
      <c r="C32" s="13" t="s">
        <v>20</v>
      </c>
      <c r="D32" s="13" t="s">
        <v>96</v>
      </c>
      <c r="E32" s="43" t="s">
        <v>97</v>
      </c>
      <c r="F32" s="13" t="s">
        <v>98</v>
      </c>
      <c r="G32" s="13" t="s">
        <v>99</v>
      </c>
      <c r="H32" s="13" t="s">
        <v>104</v>
      </c>
      <c r="I32" s="13" t="s">
        <v>105</v>
      </c>
    </row>
    <row r="33" spans="1:9">
      <c r="A33" s="41" t="s">
        <v>102</v>
      </c>
      <c r="B33" s="41">
        <v>5.1283251306487374</v>
      </c>
      <c r="C33">
        <v>14.990236001059186</v>
      </c>
      <c r="D33">
        <v>0.34211103349449457</v>
      </c>
      <c r="E33" s="41">
        <v>0.74108132235359081</v>
      </c>
      <c r="F33">
        <v>-29.439221075480123</v>
      </c>
      <c r="G33">
        <v>39.6958713367776</v>
      </c>
      <c r="H33">
        <v>-29.439221075480123</v>
      </c>
      <c r="I33">
        <v>39.6958713367776</v>
      </c>
    </row>
    <row r="34" spans="1:9">
      <c r="A34" s="41" t="s">
        <v>108</v>
      </c>
      <c r="B34" s="41">
        <v>3.0580880119009785E-4</v>
      </c>
      <c r="C34">
        <v>4.1009448998245788E-4</v>
      </c>
      <c r="D34">
        <v>0.74570326756445582</v>
      </c>
      <c r="E34" s="41">
        <v>0.47718294629457525</v>
      </c>
      <c r="F34">
        <v>-6.3987078853389395E-4</v>
      </c>
      <c r="G34">
        <v>1.2514883909140895E-3</v>
      </c>
      <c r="H34">
        <v>-6.3987078853389395E-4</v>
      </c>
      <c r="I34">
        <v>1.2514883909140895E-3</v>
      </c>
    </row>
    <row r="35" spans="1:9">
      <c r="A35" s="41" t="s">
        <v>4</v>
      </c>
      <c r="B35" s="41">
        <v>-0.6768288331509319</v>
      </c>
      <c r="C35">
        <v>2.7970923735217017</v>
      </c>
      <c r="D35">
        <v>-0.24197586020327427</v>
      </c>
      <c r="E35" s="41">
        <v>0.81488637754180193</v>
      </c>
      <c r="F35">
        <v>-7.1269354130400151</v>
      </c>
      <c r="G35">
        <v>5.7732777467381515</v>
      </c>
      <c r="H35">
        <v>-7.1269354130400151</v>
      </c>
      <c r="I35">
        <v>5.7732777467381515</v>
      </c>
    </row>
    <row r="36" spans="1:9">
      <c r="A36" s="41" t="s">
        <v>5</v>
      </c>
      <c r="B36" s="41">
        <v>-4.6320146044795243E-2</v>
      </c>
      <c r="C36">
        <v>0.27940094898608092</v>
      </c>
      <c r="D36">
        <v>-0.16578378209840225</v>
      </c>
      <c r="E36" s="41">
        <v>0.87244016167208649</v>
      </c>
      <c r="F36">
        <v>-0.69061988978666644</v>
      </c>
      <c r="G36">
        <v>0.59797959769707587</v>
      </c>
      <c r="H36">
        <v>-0.69061988978666644</v>
      </c>
      <c r="I36">
        <v>0.59797959769707587</v>
      </c>
    </row>
    <row r="37" spans="1:9">
      <c r="A37" s="41" t="s">
        <v>6</v>
      </c>
      <c r="B37" s="41">
        <v>2.4321504407308141</v>
      </c>
      <c r="C37">
        <v>1.6005341700593034</v>
      </c>
      <c r="D37">
        <v>1.5195867018825955</v>
      </c>
      <c r="E37" s="41">
        <v>0.16710089265174272</v>
      </c>
      <c r="F37">
        <v>-1.2586879739615093</v>
      </c>
      <c r="G37">
        <v>6.122988855423138</v>
      </c>
      <c r="H37">
        <v>-1.2586879739615093</v>
      </c>
      <c r="I37">
        <v>6.122988855423138</v>
      </c>
    </row>
    <row r="38" spans="1:9" ht="15.75" thickBot="1">
      <c r="A38" s="39" t="s">
        <v>7</v>
      </c>
      <c r="B38" s="39">
        <v>-0.37679813674481571</v>
      </c>
      <c r="C38" s="12">
        <v>2.0820179971991783</v>
      </c>
      <c r="D38" s="12">
        <v>-0.18097736775172021</v>
      </c>
      <c r="E38" s="39">
        <v>0.86088625002164665</v>
      </c>
      <c r="F38" s="12">
        <v>-5.1779402478556191</v>
      </c>
      <c r="G38" s="12">
        <v>4.4243439743659883</v>
      </c>
      <c r="H38" s="12">
        <v>-5.1779402478556191</v>
      </c>
      <c r="I38" s="12">
        <v>4.4243439743659883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86e827-3983-43d6-9844-33ce1300de32">
      <Terms xmlns="http://schemas.microsoft.com/office/infopath/2007/PartnerControls"/>
    </lcf76f155ced4ddcb4097134ff3c332f>
    <ReferenceId xmlns="ff86e827-3983-43d6-9844-33ce1300de32" xsi:nil="true"/>
    <TaxCatchAll xmlns="a4a5f237-6403-4b2f-bbe3-66bc7eb028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556606D1068D44BA4E7A860691AF79" ma:contentTypeVersion="13" ma:contentTypeDescription="Create a new document." ma:contentTypeScope="" ma:versionID="15e3d51c4d3463a8b2ec2dec6338bdfb">
  <xsd:schema xmlns:xsd="http://www.w3.org/2001/XMLSchema" xmlns:xs="http://www.w3.org/2001/XMLSchema" xmlns:p="http://schemas.microsoft.com/office/2006/metadata/properties" xmlns:ns2="ff86e827-3983-43d6-9844-33ce1300de32" xmlns:ns3="a4a5f237-6403-4b2f-bbe3-66bc7eb02872" targetNamespace="http://schemas.microsoft.com/office/2006/metadata/properties" ma:root="true" ma:fieldsID="51f4a30bf56dc3d849cdee2835e219d3" ns2:_="" ns3:_="">
    <xsd:import namespace="ff86e827-3983-43d6-9844-33ce1300de32"/>
    <xsd:import namespace="a4a5f237-6403-4b2f-bbe3-66bc7eb0287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6e827-3983-43d6-9844-33ce1300de3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ec58fec-8bce-43fc-81ab-3c2f7f4375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a5f237-6403-4b2f-bbe3-66bc7eb0287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db32d5b-1d70-43f4-98db-96224312ea39}" ma:internalName="TaxCatchAll" ma:showField="CatchAllData" ma:web="a4a5f237-6403-4b2f-bbe3-66bc7eb02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6B9083-3166-425D-A4D6-D674526EFA72}"/>
</file>

<file path=customXml/itemProps2.xml><?xml version="1.0" encoding="utf-8"?>
<ds:datastoreItem xmlns:ds="http://schemas.openxmlformats.org/officeDocument/2006/customXml" ds:itemID="{00F24D45-95D8-4CC7-9261-015900BB3572}"/>
</file>

<file path=customXml/itemProps3.xml><?xml version="1.0" encoding="utf-8"?>
<ds:datastoreItem xmlns:ds="http://schemas.openxmlformats.org/officeDocument/2006/customXml" ds:itemID="{9EA9DF20-18B7-4C4E-AE8F-1CF5D853D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Mariam Barbakadze</dc:creator>
  <cp:keywords/>
  <dc:description/>
  <cp:lastModifiedBy>Mariam Pachuashvili</cp:lastModifiedBy>
  <cp:revision/>
  <dcterms:created xsi:type="dcterms:W3CDTF">2024-12-24T15:39:27Z</dcterms:created>
  <dcterms:modified xsi:type="dcterms:W3CDTF">2024-12-27T10:58:42Z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0x0101001E556606D1068D44BA4E7A860691AF79</vt:lpwstr>
  </property>
  <property fmtid="{D5CDD505-2E9C-101B-9397-08002B2CF9AE}" pid="3" name="Order">
    <vt:r8>13300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